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base" sheetId="1" r:id="rId4"/>
    <sheet state="visible" name="Name Changes 2026" sheetId="2" r:id="rId5"/>
    <sheet state="visible" name="Historical Chains" sheetId="3" r:id="rId6"/>
    <sheet state="visible" name="Source Register" sheetId="4" r:id="rId7"/>
    <sheet state="visible" name="Data Dictionary" sheetId="5" r:id="rId8"/>
    <sheet state="visible" name="Web Audit 2026" sheetId="6" r:id="rId9"/>
    <sheet state="visible" name="Audit Summary" sheetId="7" r:id="rId10"/>
    <sheet state="visible" name="Priority Rules" sheetId="8" r:id="rId11"/>
    <sheet state="visible" name="Priority Framework" sheetId="9" r:id="rId12"/>
    <sheet state="visible" name="Priority Summary" sheetId="10" r:id="rId13"/>
  </sheets>
  <definedNames/>
  <calcPr/>
  <extLst>
    <ext uri="GoogleSheetsCustomDataVersion2">
      <go:sheetsCustomData xmlns:go="http://customooxmlschemas.google.com/" r:id="rId14" roundtripDataChecksum="sPT1PV7FmJKb7zXJCqRCcSUkxmUKxtgjYEZfDtOOFME="/>
    </ext>
  </extLst>
</workbook>
</file>

<file path=xl/sharedStrings.xml><?xml version="1.0" encoding="utf-8"?>
<sst xmlns="http://schemas.openxmlformats.org/spreadsheetml/2006/main" count="3177" uniqueCount="571">
  <si>
    <t>Current Name</t>
  </si>
  <si>
    <t>Source ID</t>
  </si>
  <si>
    <t>Current Hotel Name</t>
  </si>
  <si>
    <t>Hotel / Property</t>
  </si>
  <si>
    <t>Source Type</t>
  </si>
  <si>
    <t>Former Name</t>
  </si>
  <si>
    <t>Destination</t>
  </si>
  <si>
    <t>Former / Alias Name</t>
  </si>
  <si>
    <t>Source Name</t>
  </si>
  <si>
    <t>Current Group</t>
  </si>
  <si>
    <t>Historical Chain</t>
  </si>
  <si>
    <t>Period / Date</t>
  </si>
  <si>
    <t>Current Group / Management</t>
  </si>
  <si>
    <t>Former Brand</t>
  </si>
  <si>
    <t>Chain / Scope</t>
  </si>
  <si>
    <t>Status</t>
  </si>
  <si>
    <t>Ingestion Status</t>
  </si>
  <si>
    <t>Former Chain / Brand</t>
  </si>
  <si>
    <t>Notes</t>
  </si>
  <si>
    <t>Operational Status</t>
  </si>
  <si>
    <t>Last Verified</t>
  </si>
  <si>
    <t>Confidence</t>
  </si>
  <si>
    <t>Source</t>
  </si>
  <si>
    <t>Primary Source</t>
  </si>
  <si>
    <t>Source URL</t>
  </si>
  <si>
    <t>Historical Status</t>
  </si>
  <si>
    <t>SEO Priority</t>
  </si>
  <si>
    <t>Source / Notes</t>
  </si>
  <si>
    <t>GoCuba Page</t>
  </si>
  <si>
    <t>CubaHotels Page</t>
  </si>
  <si>
    <t>SRC-001</t>
  </si>
  <si>
    <t>Hotel Palmeras</t>
  </si>
  <si>
    <t>Current Mapping Status</t>
  </si>
  <si>
    <t>Hotel Lido</t>
  </si>
  <si>
    <t>Email</t>
  </si>
  <si>
    <t>Update on Cuba destination / hotel chains</t>
  </si>
  <si>
    <t>Sol Palmeras</t>
  </si>
  <si>
    <t>Havana</t>
  </si>
  <si>
    <t>2026-08-21</t>
  </si>
  <si>
    <t>Varadero</t>
  </si>
  <si>
    <t>Islazul</t>
  </si>
  <si>
    <t>Multiple chains</t>
  </si>
  <si>
    <t>Miramar Hoteles</t>
  </si>
  <si>
    <t>Ingested</t>
  </si>
  <si>
    <t>Historical supplier listing</t>
  </si>
  <si>
    <t>Primary basis for 2026 old→new mappings and operational status</t>
  </si>
  <si>
    <t>2013-2014</t>
  </si>
  <si>
    <t>Meliá</t>
  </si>
  <si>
    <t>Low</t>
  </si>
  <si>
    <t>Renamed / operating</t>
  </si>
  <si>
    <t>Hotel Ambos Mundos</t>
  </si>
  <si>
    <t>Uploaded supplier rate lists 2013/14</t>
  </si>
  <si>
    <t>High</t>
  </si>
  <si>
    <t>Legacy listing; current name/group/status requires verification</t>
  </si>
  <si>
    <t>SRC-002</t>
  </si>
  <si>
    <t>Old Havana</t>
  </si>
  <si>
    <t>Embassy/Tourism Office email, 21 Aug 2026</t>
  </si>
  <si>
    <t>Web</t>
  </si>
  <si>
    <t>Old name → new name explicitly stated</t>
  </si>
  <si>
    <t>Habaguanex</t>
  </si>
  <si>
    <t>Gran Caribe hotel listing</t>
  </si>
  <si>
    <t>2026-09-06</t>
  </si>
  <si>
    <t>Gran Caribe</t>
  </si>
  <si>
    <t>Historical</t>
  </si>
  <si>
    <t>Partially ingested</t>
  </si>
  <si>
    <t>Habaguanex historical portfolio; also appears in uploaded Habaguanex 2013/14 rate-list batch</t>
  </si>
  <si>
    <t>Used to seed current/historical Gran Caribe portfolio</t>
  </si>
  <si>
    <t>Hotel Los Pétalos Varadero</t>
  </si>
  <si>
    <t>Needs current mapping / verification</t>
  </si>
  <si>
    <t>Meliá Varadero</t>
  </si>
  <si>
    <t>SRC-003</t>
  </si>
  <si>
    <t>Habaguanex historical hotel list</t>
  </si>
  <si>
    <t>Used to seed Habaguanex legacy portfolio</t>
  </si>
  <si>
    <t>Hotel Armadores de Santander</t>
  </si>
  <si>
    <t>Hotel Las Américas</t>
  </si>
  <si>
    <t>Meliá Las Américas</t>
  </si>
  <si>
    <t>SRC-004</t>
  </si>
  <si>
    <t>Supplier rate list</t>
  </si>
  <si>
    <t>ACCOR 1314 EUR.xls</t>
  </si>
  <si>
    <t>2013/14</t>
  </si>
  <si>
    <t>ACCOR</t>
  </si>
  <si>
    <t>Queued for hotel-level ingestion</t>
  </si>
  <si>
    <t>Legacy supplier data; retain as evidence for former names/chains</t>
  </si>
  <si>
    <t>SRC-005</t>
  </si>
  <si>
    <t>Hotel Beltrán de Santa Cruz</t>
  </si>
  <si>
    <t>Hotel Trinidad Península</t>
  </si>
  <si>
    <t>Meliá Trinidad Península</t>
  </si>
  <si>
    <t>Barcelo 1314 EUR.xls</t>
  </si>
  <si>
    <t>Trinidad</t>
  </si>
  <si>
    <t>Barcelo</t>
  </si>
  <si>
    <t>Hotel Lincoln</t>
  </si>
  <si>
    <t>SRC-006</t>
  </si>
  <si>
    <t>Hotel Comendador</t>
  </si>
  <si>
    <t>Be Live 1314 EUR.xls</t>
  </si>
  <si>
    <t>Hotel Internacional de Varadero</t>
  </si>
  <si>
    <t>Meliá Internacional Varadero</t>
  </si>
  <si>
    <t>Be Live</t>
  </si>
  <si>
    <t>SRC-007</t>
  </si>
  <si>
    <t>Bellevue 1314 EUR.xls</t>
  </si>
  <si>
    <t>Bellevue</t>
  </si>
  <si>
    <t>Hotel Conde de Villanueva</t>
  </si>
  <si>
    <t>Hotel Habana Libre</t>
  </si>
  <si>
    <t>Tryp Habana Libre</t>
  </si>
  <si>
    <t>Meliá / Tryp</t>
  </si>
  <si>
    <t>SRC-008</t>
  </si>
  <si>
    <t>BLAU 1314 EUR.xls</t>
  </si>
  <si>
    <t>BLAU</t>
  </si>
  <si>
    <t>Hotel Rocarena</t>
  </si>
  <si>
    <t>Hotel Florida</t>
  </si>
  <si>
    <t>Sol Cayo Coco</t>
  </si>
  <si>
    <t>Cayo Coco</t>
  </si>
  <si>
    <t>SRC-009</t>
  </si>
  <si>
    <t>Meliá / Sol</t>
  </si>
  <si>
    <t>Blue Diamond Memories 1314 EUR.xls</t>
  </si>
  <si>
    <t>Blue Diamond Memories</t>
  </si>
  <si>
    <t>Hotel Los Frailes</t>
  </si>
  <si>
    <t>Hotel Arena Real</t>
  </si>
  <si>
    <t>SRC-010</t>
  </si>
  <si>
    <t>Meliá Cayo Coco</t>
  </si>
  <si>
    <t>Blue Diamond Royalton Cyo Sta María 1314 EUR.xls</t>
  </si>
  <si>
    <t>Blue Diamond Royalton Cyo Sta María</t>
  </si>
  <si>
    <t>Hotel Caribbean</t>
  </si>
  <si>
    <t>SRC-011</t>
  </si>
  <si>
    <t>Hotel Marqués de Prado Ameno</t>
  </si>
  <si>
    <t>Cubamar 1314 EUR.xls</t>
  </si>
  <si>
    <t>Hotel Costa Rey</t>
  </si>
  <si>
    <t>Meliá Costa Rey</t>
  </si>
  <si>
    <t>Cubamar</t>
  </si>
  <si>
    <t>Jardines del Rey</t>
  </si>
  <si>
    <t>SRC-012</t>
  </si>
  <si>
    <t>Hotel Mesón de la Flota</t>
  </si>
  <si>
    <t>Cubanacan 1314 EUR I.xls</t>
  </si>
  <si>
    <t>Hotel Cohiba</t>
  </si>
  <si>
    <t>Cubanacan</t>
  </si>
  <si>
    <t>Meliá Cohiba</t>
  </si>
  <si>
    <t>Cubanacán</t>
  </si>
  <si>
    <t>Open / renamed</t>
  </si>
  <si>
    <t>SRC-013</t>
  </si>
  <si>
    <t>Eurostars Cayo Santa María 1314 EUR.xls</t>
  </si>
  <si>
    <t>Hotel Las Antillas</t>
  </si>
  <si>
    <t>Hotel Palacio O'Farrill</t>
  </si>
  <si>
    <t>Meliá Las Antillas</t>
  </si>
  <si>
    <t>Eurostars Cayo Santa María</t>
  </si>
  <si>
    <t>SRC-014</t>
  </si>
  <si>
    <t>Hotel Santiago</t>
  </si>
  <si>
    <t>Hotel Las Yagrumas</t>
  </si>
  <si>
    <t>Meliá Santiago</t>
  </si>
  <si>
    <t>Gaviota 1314 EUR.xls</t>
  </si>
  <si>
    <t>Hotel Park View</t>
  </si>
  <si>
    <t>Artemisa</t>
  </si>
  <si>
    <t>Santiago de Cuba</t>
  </si>
  <si>
    <t>Gaviota</t>
  </si>
  <si>
    <t>SRC-015</t>
  </si>
  <si>
    <t>Gaviota Topes 1314 EUR.xls</t>
  </si>
  <si>
    <t>Hotel Perlamar</t>
  </si>
  <si>
    <t>Hotel Raquel</t>
  </si>
  <si>
    <t>Tryp Cayo Coco</t>
  </si>
  <si>
    <t>Gaviota Topes</t>
  </si>
  <si>
    <t>SRC-016</t>
  </si>
  <si>
    <t>Gran Caribe Europa 1314 EUR.xls</t>
  </si>
  <si>
    <t>Hotel Parque Central</t>
  </si>
  <si>
    <t>Gran Caribe Europa</t>
  </si>
  <si>
    <t>Hotel Palacio del Marqués de San Felipe y Santiago de Bejucal</t>
  </si>
  <si>
    <t>Iberostar Selection Parque Central</t>
  </si>
  <si>
    <t>Iberostar</t>
  </si>
  <si>
    <t>SRC-017</t>
  </si>
  <si>
    <t>H10 Panorama  1314 EUR.xls</t>
  </si>
  <si>
    <t xml:space="preserve">H10 Panorama </t>
  </si>
  <si>
    <t>Hotel San Miguel</t>
  </si>
  <si>
    <t>Hotel Marqués de la Torre</t>
  </si>
  <si>
    <t>Iberostar Marqués de la Torre</t>
  </si>
  <si>
    <t>Hotel Canimao</t>
  </si>
  <si>
    <t>Matanzas</t>
  </si>
  <si>
    <t>SRC-018</t>
  </si>
  <si>
    <t>H10 Patriarca Varadero 1314 EUR.xls</t>
  </si>
  <si>
    <t>H10 Patriarca Varadero</t>
  </si>
  <si>
    <t>Hotel Saratoga</t>
  </si>
  <si>
    <t>Iberostar Selection Varadero</t>
  </si>
  <si>
    <t>Management changed; current name to verify</t>
  </si>
  <si>
    <t>SRC-019</t>
  </si>
  <si>
    <t>Medium</t>
  </si>
  <si>
    <t>Habaguanex 1314 EUR.xls</t>
  </si>
  <si>
    <t>Do not infer a new name until verified</t>
  </si>
  <si>
    <t>Hotel Santa Isabel</t>
  </si>
  <si>
    <t>SRC-020</t>
  </si>
  <si>
    <t>HUSA 1314 EUR.xls</t>
  </si>
  <si>
    <t>HUSA</t>
  </si>
  <si>
    <t>Hotel del Tejadillo</t>
  </si>
  <si>
    <t>SRC-021</t>
  </si>
  <si>
    <t>Iberostar 1314 EUR.xls</t>
  </si>
  <si>
    <t>Hotel Oasis</t>
  </si>
  <si>
    <t>Hotel Telégrafo</t>
  </si>
  <si>
    <t>SRC-022</t>
  </si>
  <si>
    <t>Iberostar Hotels Special Offer EUR.xls</t>
  </si>
  <si>
    <t>Hostal Valencia</t>
  </si>
  <si>
    <t>SRC-023</t>
  </si>
  <si>
    <t>Islazul 1314 EUR I.xls</t>
  </si>
  <si>
    <t>Hotel names ingested</t>
  </si>
  <si>
    <t>Legacy names/status only; rates not used</t>
  </si>
  <si>
    <t>SRC-024</t>
  </si>
  <si>
    <t>Meson Regidor 1314 EUR.xls</t>
  </si>
  <si>
    <t>Cubanacán / Trinidad</t>
  </si>
  <si>
    <t>Hotel name ingested</t>
  </si>
  <si>
    <t>Legacy reference</t>
  </si>
  <si>
    <t>Aparthotel Montehabana</t>
  </si>
  <si>
    <t>SRC-025</t>
  </si>
  <si>
    <t>MOKA 1314 EUR I.xls</t>
  </si>
  <si>
    <t>Las Terrazas</t>
  </si>
  <si>
    <t>SRC-026</t>
  </si>
  <si>
    <t>Occidental 1314 EUR.xls</t>
  </si>
  <si>
    <t>Occidental</t>
  </si>
  <si>
    <t>Hotel El Bosque</t>
  </si>
  <si>
    <t>SRC-027</t>
  </si>
  <si>
    <t>ROC 1314 EUR.xls</t>
  </si>
  <si>
    <t>Hotel Acuazul</t>
  </si>
  <si>
    <t>ROC Hotels</t>
  </si>
  <si>
    <t>SRC-028</t>
  </si>
  <si>
    <t>Hotel Habana 612</t>
  </si>
  <si>
    <t>Royals Hicacos 1314 EUR.XLS</t>
  </si>
  <si>
    <t>Royal Hicacos</t>
  </si>
  <si>
    <t>SRC-029</t>
  </si>
  <si>
    <t>Sol Melia Europa B Estancias 1314 EUR.xls</t>
  </si>
  <si>
    <t>Meliá / Sol / Paradisus / Tryp</t>
  </si>
  <si>
    <t>Referenced in existing name-change mapping</t>
  </si>
  <si>
    <t>Hotel Kohly</t>
  </si>
  <si>
    <t>SRC-030</t>
  </si>
  <si>
    <t>SuperClubs 1314 EUR.xls</t>
  </si>
  <si>
    <t>SuperClubs / Breezes</t>
  </si>
  <si>
    <t>SRC-031</t>
  </si>
  <si>
    <t>Tarara 1314 EUR.xls</t>
  </si>
  <si>
    <t>Residencial Tarará</t>
  </si>
  <si>
    <t>Property ingested</t>
  </si>
  <si>
    <t>Non-hotel residential accommodation</t>
  </si>
  <si>
    <t>SRC-032</t>
  </si>
  <si>
    <t>Web audit</t>
  </si>
  <si>
    <t>Cuba Travel official destination hotel pages</t>
  </si>
  <si>
    <t>Nationwide sample across provinces</t>
  </si>
  <si>
    <t>Current official listings; some pages may lag 2026 renaming changes</t>
  </si>
  <si>
    <t>Hotel Herradura</t>
  </si>
  <si>
    <t>Hotel Santa Clara Libre</t>
  </si>
  <si>
    <t>Santa Clara</t>
  </si>
  <si>
    <t>Hotel Hanabanilla</t>
  </si>
  <si>
    <t>Villa Clara</t>
  </si>
  <si>
    <t>Hotel Elguea</t>
  </si>
  <si>
    <t>Hotel Yaguanabo</t>
  </si>
  <si>
    <t>Cienfuegos</t>
  </si>
  <si>
    <t>Hotel Los Laureles</t>
  </si>
  <si>
    <t>Sancti Spíritus</t>
  </si>
  <si>
    <t>Hotel Rancho Hatuey</t>
  </si>
  <si>
    <t>Hotel Zaza</t>
  </si>
  <si>
    <t>Villa San José del Lago</t>
  </si>
  <si>
    <t>Gran Hotel</t>
  </si>
  <si>
    <t>Camagüey</t>
  </si>
  <si>
    <t>Hotel Plaza</t>
  </si>
  <si>
    <t>Hotel Pernik</t>
  </si>
  <si>
    <t>Holguín</t>
  </si>
  <si>
    <t>Villa El Bosque</t>
  </si>
  <si>
    <t>Villa Don Lino</t>
  </si>
  <si>
    <t>Villa Mirador de Mayabe</t>
  </si>
  <si>
    <t>Hotel Royalton</t>
  </si>
  <si>
    <t>Bayamo / Granma</t>
  </si>
  <si>
    <t>Villa Bayamo</t>
  </si>
  <si>
    <t>Granma</t>
  </si>
  <si>
    <t>Villa Santo Domingo</t>
  </si>
  <si>
    <t>Hotel San Juan</t>
  </si>
  <si>
    <t>Hotel Gran Piedra</t>
  </si>
  <si>
    <t>Hotel Vueltabajo</t>
  </si>
  <si>
    <t>Pinar del Río</t>
  </si>
  <si>
    <t>Hotel Colina</t>
  </si>
  <si>
    <t>Hotel Libertad</t>
  </si>
  <si>
    <t>Hotel Las Tunas</t>
  </si>
  <si>
    <t>Las Tunas</t>
  </si>
  <si>
    <t>Villa La Mar</t>
  </si>
  <si>
    <t>Hotel Panamericano</t>
  </si>
  <si>
    <t>Field</t>
  </si>
  <si>
    <t>Group / Management</t>
  </si>
  <si>
    <t>Audit Source</t>
  </si>
  <si>
    <t>Audit Date</t>
  </si>
  <si>
    <t>Purpose</t>
  </si>
  <si>
    <t>Hotel Club Acuario</t>
  </si>
  <si>
    <t>Official Cuba Travel</t>
  </si>
  <si>
    <t>https://www.cuba.travel/en/destinations/la-havana-cuba/havana-hotels</t>
  </si>
  <si>
    <t>Found in web audit</t>
  </si>
  <si>
    <t>Hotel Isla de Cuba</t>
  </si>
  <si>
    <t>Hotel El Viejo y el Mar</t>
  </si>
  <si>
    <t>Canonical current name used for 2026 directory and CubaHotels.travel.</t>
  </si>
  <si>
    <t>Hotel Mar Azul</t>
  </si>
  <si>
    <t>Havana East</t>
  </si>
  <si>
    <t>Blau Arenal Habana Beach Hotel</t>
  </si>
  <si>
    <t>Cubanacán / Blau</t>
  </si>
  <si>
    <t>Previous brand/name, including Meliá, Iberostar, Tryp, Sol, etc.</t>
  </si>
  <si>
    <t>NH Collection Victoria La Habana</t>
  </si>
  <si>
    <t>Gran Caribe / NH</t>
  </si>
  <si>
    <t>Hotel Palacio Cueto</t>
  </si>
  <si>
    <t>City, resort area, cay or province used for search/filtering.</t>
  </si>
  <si>
    <t>Hotel Marqués de Cárdenas de Montehermoso</t>
  </si>
  <si>
    <t>Current operator or hotel group where verified.</t>
  </si>
  <si>
    <t>Hotel Terral</t>
  </si>
  <si>
    <t>Centro Habana</t>
  </si>
  <si>
    <t>Former international or domestic chain.</t>
  </si>
  <si>
    <t>Mystique Regis Habana by Royalton</t>
  </si>
  <si>
    <t>Gaviota / Royalton</t>
  </si>
  <si>
    <t>Hotel Sierra Maestra</t>
  </si>
  <si>
    <t>Hotel Palacio de los Corredores</t>
  </si>
  <si>
    <t>Open, operating, closed, management changed, historical, or to verify.</t>
  </si>
  <si>
    <t>Royalton Habana</t>
  </si>
  <si>
    <t>Villa Panamericana</t>
  </si>
  <si>
    <t>Date the status/name was last checked.</t>
  </si>
  <si>
    <t>Villa Mirador del Mar</t>
  </si>
  <si>
    <t>Villa Gaviota Santiago</t>
  </si>
  <si>
    <t>https://www.cuba.travel/destinos/santiago-de-cuba/hoteles-en-santiago-de-cuba</t>
  </si>
  <si>
    <t>Hotel Versalles</t>
  </si>
  <si>
    <t>High = explicit primary source; Medium = credible secondary/current listing; Low = unverified legacy data.</t>
  </si>
  <si>
    <t>Document, email, supplier list or web source supporting the row.</t>
  </si>
  <si>
    <t>Hotel Guacanayabo</t>
  </si>
  <si>
    <t>Manzanillo / Granma</t>
  </si>
  <si>
    <t>Hotel Punta Gorda</t>
  </si>
  <si>
    <t>Plain-text URL where applicable.</t>
  </si>
  <si>
    <t>Hotel Deportivo</t>
  </si>
  <si>
    <t>To be added after keyword-volume mapping.</t>
  </si>
  <si>
    <t>Hotel Los Peregrinos</t>
  </si>
  <si>
    <t>El Cobre / Santiago de Cuba</t>
  </si>
  <si>
    <t>Editorial / authority URL.</t>
  </si>
  <si>
    <t>Hotel Camino del Mar</t>
  </si>
  <si>
    <t>Cayo Guillermo</t>
  </si>
  <si>
    <t>https://www.cuba.travel/en/destinations/ciego-de-avila/hotels-in-ciego-de-avila</t>
  </si>
  <si>
    <t>Transactional / booking URL.</t>
  </si>
  <si>
    <t>Memories Flamenco</t>
  </si>
  <si>
    <t>Gaviota / Blue Diamond</t>
  </si>
  <si>
    <t>Cayo Guillermo Resort Kempinski</t>
  </si>
  <si>
    <t>Gaviota / Kempinski</t>
  </si>
  <si>
    <t>Hotel Costa Morena</t>
  </si>
  <si>
    <t>Memories Caribe</t>
  </si>
  <si>
    <t>Pullman Cayo Coco</t>
  </si>
  <si>
    <t>Gran Caribe / Accor</t>
  </si>
  <si>
    <t>Iberostar Playa Pilar</t>
  </si>
  <si>
    <t>Gaviota / Iberostar</t>
  </si>
  <si>
    <t>Hotel Mojito</t>
  </si>
  <si>
    <t>Iberostar Daiquirí</t>
  </si>
  <si>
    <t>Cubanacán / Iberostar</t>
  </si>
  <si>
    <t>Hotel Ciego de Ávila</t>
  </si>
  <si>
    <t>Ciego de Ávila</t>
  </si>
  <si>
    <t>Hotel Santiago Habana</t>
  </si>
  <si>
    <t>Hotel Morón</t>
  </si>
  <si>
    <t>Morón / Ciego de Ávila</t>
  </si>
  <si>
    <t>Hotel Rancho Club</t>
  </si>
  <si>
    <t>La Casona</t>
  </si>
  <si>
    <t>Motel San Fernando</t>
  </si>
  <si>
    <t>Aparthotel Azul</t>
  </si>
  <si>
    <t>Hotel Grand Aston Cayo Paredón</t>
  </si>
  <si>
    <t>Cayo Paredón</t>
  </si>
  <si>
    <t>Gaviota / Aston</t>
  </si>
  <si>
    <t>https://www.cuba.travel/destinos/ciego-de-avila/hoteles-en-ciego-de-avila</t>
  </si>
  <si>
    <t>Hotel Woovo Playa Hermosa Cayo Paredón</t>
  </si>
  <si>
    <t>Vila Galé Cayo Paredón</t>
  </si>
  <si>
    <t>Gaviota / Vila Galé</t>
  </si>
  <si>
    <t>MGM Grand Muthu Rainbow</t>
  </si>
  <si>
    <t>Gaviota / MGM Muthu</t>
  </si>
  <si>
    <t>https://www.cuba.travel/destinos/granma/hoteles-en-granma</t>
  </si>
  <si>
    <t>Hotel Cadillac</t>
  </si>
  <si>
    <t>Club Amigo Marea del Portillo-Farallón del Caribe</t>
  </si>
  <si>
    <t>Marea del Portillo / Granma</t>
  </si>
  <si>
    <t>Villa Punta Piedra</t>
  </si>
  <si>
    <t>Hotel Las Cuevas</t>
  </si>
  <si>
    <t>https://www.cuba.travel/destinos/trinidad/alojamiento</t>
  </si>
  <si>
    <t>Hotel E La Ronda</t>
  </si>
  <si>
    <t>Hotel E La Calesa</t>
  </si>
  <si>
    <t>Hotel Trinidad 500</t>
  </si>
  <si>
    <t>Hotel Guantánamo</t>
  </si>
  <si>
    <t>Cuba Hotel Master Database 2026 — Audit Summary</t>
  </si>
  <si>
    <t>Guantánamo</t>
  </si>
  <si>
    <t>Version</t>
  </si>
  <si>
    <t>Villa Ma Dolores</t>
  </si>
  <si>
    <t>v2 — 6 Sep 2026</t>
  </si>
  <si>
    <t>Hotel Mirador de San Diego</t>
  </si>
  <si>
    <t>San Diego de los Baños / Pinar del Río</t>
  </si>
  <si>
    <t>https://www.cuba.travel/destinos/pinar-del-rio/alojamiento</t>
  </si>
  <si>
    <t>Hotel La Marina Plaza &amp; SPA</t>
  </si>
  <si>
    <t>Cayo Cruz / Camagüey</t>
  </si>
  <si>
    <t>https://www.cuba.travel/destinos/camaguey/hoteles-en-camaguey-cuba</t>
  </si>
  <si>
    <t>New legacy supplier properties added</t>
  </si>
  <si>
    <t>Iberostar Selection Esmeralda</t>
  </si>
  <si>
    <t>New official-web candidates added</t>
  </si>
  <si>
    <t>Iberostar Coral Esmeralda</t>
  </si>
  <si>
    <t>Total new rows this update</t>
  </si>
  <si>
    <t>Hotel Camagüey</t>
  </si>
  <si>
    <t>Hotel Caonaba</t>
  </si>
  <si>
    <t>Nuevitas / Camagüey</t>
  </si>
  <si>
    <t>Important note</t>
  </si>
  <si>
    <t>Official Cuba Travel pages are useful for coverage but may lag the August 2026 chain/name changes. The Embassy/Tourism Office email remains the higher-priority source where conflicts exist.</t>
  </si>
  <si>
    <t>Hotel Costa Blanca</t>
  </si>
  <si>
    <t>Santa Lucía / Camagüey</t>
  </si>
  <si>
    <t>Florida / Camagüey</t>
  </si>
  <si>
    <t>Hotel Mar del Sur</t>
  </si>
  <si>
    <t>Hotel Muthu Covarrubias Beach</t>
  </si>
  <si>
    <t>Covarrubias / Las Tunas</t>
  </si>
  <si>
    <t>Cubanacán / Muthu</t>
  </si>
  <si>
    <t>https://www.cuba.travel/destinos/las-tunas/hoteles-en-las-tunas</t>
  </si>
  <si>
    <t>Hotel E Mystique Caballeriza by Royalton</t>
  </si>
  <si>
    <t>Cubanacán / Royalton</t>
  </si>
  <si>
    <t>https://www.cuba.travel/destinos/holguin/hoteles-en-holguin</t>
  </si>
  <si>
    <t>Hotel E Mystique Esmeralda by Royalton</t>
  </si>
  <si>
    <t>Hotel E Mystique Saratoga by Royalton</t>
  </si>
  <si>
    <t>Hotel Club Amigo Atlántico Guardalavaca</t>
  </si>
  <si>
    <t>Guardalavaca / Holguín</t>
  </si>
  <si>
    <t>Hotel Starfish Guardalavaca</t>
  </si>
  <si>
    <t>Cubanacán / Blue Diamond</t>
  </si>
  <si>
    <t>Hotel Brisas Guardalavaca</t>
  </si>
  <si>
    <t>Gran Muthu Almirante Beach</t>
  </si>
  <si>
    <t>Hotel Club Tropical</t>
  </si>
  <si>
    <t>Hotel Sol Río Luna Mares</t>
  </si>
  <si>
    <t>Playa Esmeralda / Holguín</t>
  </si>
  <si>
    <t>Hotel Paradisus Río de Oro</t>
  </si>
  <si>
    <t>Hotel Playa Pesquero</t>
  </si>
  <si>
    <t>Playa Pesquero / Holguín</t>
  </si>
  <si>
    <t>Hotel Playa Costa Verde</t>
  </si>
  <si>
    <t>Iberostar Selection Holguín</t>
  </si>
  <si>
    <t>Hotel Sol Turquesa Beach</t>
  </si>
  <si>
    <t>Playa Yuraguanal / Holguín</t>
  </si>
  <si>
    <t>Hotel Aston Costa Verde Beach Resort</t>
  </si>
  <si>
    <t>Hotel Club Karey</t>
  </si>
  <si>
    <t>Iberostar Ensenachos</t>
  </si>
  <si>
    <t>Cayo Ensenachos</t>
  </si>
  <si>
    <t>https://www.cuba.travel/destinos/villaclara/serviciosturisticos/alojamiento</t>
  </si>
  <si>
    <t>Starfish Cayo Santa María</t>
  </si>
  <si>
    <t>Cayo Santa María</t>
  </si>
  <si>
    <t>Playa Cayo Santa María</t>
  </si>
  <si>
    <t>Memories Paraíso Beach Resort</t>
  </si>
  <si>
    <t>Sanctuary at Grand Memories Santa Maria</t>
  </si>
  <si>
    <t>Grand Memories Santa Maria</t>
  </si>
  <si>
    <t>Royalton Cayo Santa María</t>
  </si>
  <si>
    <t>Valentín Perla Blanca</t>
  </si>
  <si>
    <t>Gaviota / Valentin</t>
  </si>
  <si>
    <t>Complejo Rijo-Plaza</t>
  </si>
  <si>
    <t>Villa Las Brujas</t>
  </si>
  <si>
    <t>Cayo Las Brujas</t>
  </si>
  <si>
    <t>Roc Lagunas del Mar</t>
  </si>
  <si>
    <t>Gaviota / ROC</t>
  </si>
  <si>
    <t>Roc Casa del Mar</t>
  </si>
  <si>
    <t>Dhawa Cayo Santa María</t>
  </si>
  <si>
    <t>Gaviota / Banyan Group</t>
  </si>
  <si>
    <t>Grand Aston Cayo Las Brujas Beach Resort &amp; Spa</t>
  </si>
  <si>
    <t>Grand Muthu Cayo Santa María</t>
  </si>
  <si>
    <t>Gaviota / Muthu</t>
  </si>
  <si>
    <t>Paradisus Los Cayos</t>
  </si>
  <si>
    <t>Angsana Cayo Santa María</t>
  </si>
  <si>
    <t>Hotel Bruzón</t>
  </si>
  <si>
    <t>Grand Sirenis Cayo Santa María</t>
  </si>
  <si>
    <t>Gaviota / Sirenis</t>
  </si>
  <si>
    <t>The One Gallery Resort</t>
  </si>
  <si>
    <t>Hotel E Mascotte</t>
  </si>
  <si>
    <t>Remedios / Villa Clara</t>
  </si>
  <si>
    <t>P1 Current Names</t>
  </si>
  <si>
    <t>P1 Former Names</t>
  </si>
  <si>
    <t>P2 Current Names</t>
  </si>
  <si>
    <t>Top Destination Terms</t>
  </si>
  <si>
    <t>Hotel E Camino del Príncipe</t>
  </si>
  <si>
    <t>Hotel E Real</t>
  </si>
  <si>
    <t>Hotel E Leyendas</t>
  </si>
  <si>
    <t>Hotel E Casa Bauzá</t>
  </si>
  <si>
    <t>Hotel E Sagua</t>
  </si>
  <si>
    <t>Sagua la Grande / Villa Clara</t>
  </si>
  <si>
    <t>Villa Bacuranao</t>
  </si>
  <si>
    <t>Hotel E Palacio Arenas</t>
  </si>
  <si>
    <t>Hotel Horizontes La Granjita</t>
  </si>
  <si>
    <t>Santa Clara / Villa Clara</t>
  </si>
  <si>
    <t>Hotel Horizontes Los Caneyes</t>
  </si>
  <si>
    <t>Hotel América</t>
  </si>
  <si>
    <t>Grand Memories Varadero</t>
  </si>
  <si>
    <t>Hotel Floreale</t>
  </si>
  <si>
    <t>Grand Aston Varadero</t>
  </si>
  <si>
    <t>Vedado</t>
  </si>
  <si>
    <t>Villa Sanctuary at Grand Memories</t>
  </si>
  <si>
    <t>Cayo Largo</t>
  </si>
  <si>
    <t>Gran Caribe / Blue Diamond</t>
  </si>
  <si>
    <t>https://www.cuba.travel/destinos/isla-de-la-juventud/hoteles-en-cayo-largo</t>
  </si>
  <si>
    <t>Hotel Paseo Habana</t>
  </si>
  <si>
    <t>Paradisus Varadero</t>
  </si>
  <si>
    <t>Miramar</t>
  </si>
  <si>
    <t>Hotel Iberostar Playa Blanca</t>
  </si>
  <si>
    <t>Gran Caribe / Iberostar</t>
  </si>
  <si>
    <t>Blau Varadero</t>
  </si>
  <si>
    <t>Sol Cayo Largo</t>
  </si>
  <si>
    <t>Hotel Pelícano</t>
  </si>
  <si>
    <t>Sol Varadero Beach</t>
  </si>
  <si>
    <t>Villa Lindamar</t>
  </si>
  <si>
    <t>Villa Marinera</t>
  </si>
  <si>
    <t>Hotel Isla del Sur</t>
  </si>
  <si>
    <t>Hotel Tulipán</t>
  </si>
  <si>
    <t>Villa Coral</t>
  </si>
  <si>
    <t>Villa Soledad</t>
  </si>
  <si>
    <t>Villa Iguana</t>
  </si>
  <si>
    <t>Playa Pesquero</t>
  </si>
  <si>
    <t>Hotel El Pinero</t>
  </si>
  <si>
    <t>Nueva Gerona / Isla de la Juventud</t>
  </si>
  <si>
    <t>Iberostar Bella Vista Varadero</t>
  </si>
  <si>
    <t>Hotel La Cubana</t>
  </si>
  <si>
    <t>Starfish Varadero</t>
  </si>
  <si>
    <t>Las Codornices</t>
  </si>
  <si>
    <t>Isla de la Juventud</t>
  </si>
  <si>
    <t>Vila Galé Cayo Santa María</t>
  </si>
  <si>
    <t>Villa Isla de la Juventud</t>
  </si>
  <si>
    <t>Sanctuary at Grand Memories Varadero</t>
  </si>
  <si>
    <t>Villa Rancho El Tesoro</t>
  </si>
  <si>
    <t>Hotel Bella Habana Aeropuerto</t>
  </si>
  <si>
    <t>Hotel Bibijagua</t>
  </si>
  <si>
    <t>Hotel Colony</t>
  </si>
  <si>
    <t>Villa Loma</t>
  </si>
  <si>
    <t>Jibacoa / Mayabeque</t>
  </si>
  <si>
    <t>https://www.cuba.travel/destinos/mayabeque/serviciosturisticos/alojamiento</t>
  </si>
  <si>
    <t>Hotel Memories Jibacoa</t>
  </si>
  <si>
    <t>San Antonio de los Baños / Artemisa</t>
  </si>
  <si>
    <t>Hotel Villa Horizontes Soroa</t>
  </si>
  <si>
    <t>Soroa / Artemisa</t>
  </si>
  <si>
    <t>https://www.cuba.travel/Destinos/ARTEMISA/Servicios-Tur%C3%ADsticos/ALOJAMIENTO</t>
  </si>
  <si>
    <t>Hotel San Alejandro</t>
  </si>
  <si>
    <t>Hotel Porto Santo</t>
  </si>
  <si>
    <t>Baracoa / Guantánamo</t>
  </si>
  <si>
    <t>https://www.cuba.travel/destinos/baracoa-guantanamo/hoteles-en-guantanamo</t>
  </si>
  <si>
    <t>Hotel Martí</t>
  </si>
  <si>
    <t>Hotel Pullman-Dos Mares</t>
  </si>
  <si>
    <t>Hotel Punta Las Cuevas</t>
  </si>
  <si>
    <t>Trinidad / Sancti Spíritus</t>
  </si>
  <si>
    <t>Hotel Colón</t>
  </si>
  <si>
    <t>Priority</t>
  </si>
  <si>
    <t>Hotel Puerto Príncipe</t>
  </si>
  <si>
    <t>Definition</t>
  </si>
  <si>
    <t>Recommended Action</t>
  </si>
  <si>
    <t>P1</t>
  </si>
  <si>
    <t>Highest SEO + commercial opportunity. Major 2026 old→new hotel-name migrations and highest-volume branded hotel searches identified in the keyword research.</t>
  </si>
  <si>
    <t>Build/refresh GoCuba hotel page first; verify current status; create CubaHotels.travel booking page; preserve former-name SEO aliases.</t>
  </si>
  <si>
    <t>SEO Priority Summary</t>
  </si>
  <si>
    <t>Count</t>
  </si>
  <si>
    <t>P2</t>
  </si>
  <si>
    <t>Strong opportunity. Remaining confirmed rename entities plus hotels in the biggest demand clusters: Varadero, Cayo Coco, Cayo Santa María, Holguín and Havana.</t>
  </si>
  <si>
    <t>Build in Wave 2; include in destination hotel hubs and internal linking.</t>
  </si>
  <si>
    <t>P3</t>
  </si>
  <si>
    <t>Useful current inventory and long-tail properties outside the first two opportunity waves.</t>
  </si>
  <si>
    <t>Add progressively to the directory and booking inventory.</t>
  </si>
  <si>
    <t>Backlog</t>
  </si>
  <si>
    <t>Historical, low-confidence or currently unverified properties.</t>
  </si>
  <si>
    <t>Verify before publishing as a canonical current hotel page.</t>
  </si>
  <si>
    <t>Hotel Balcón de la Sierra</t>
  </si>
  <si>
    <t>Hotel Niquero</t>
  </si>
  <si>
    <t>Hotel Tararaco</t>
  </si>
  <si>
    <t>Hotel Balcón del Caribe</t>
  </si>
  <si>
    <t>Hotel Caimanera</t>
  </si>
  <si>
    <t>Hotel La Lupe</t>
  </si>
  <si>
    <t>Hotel Moka</t>
  </si>
  <si>
    <t>Las Terrazas / Artemisa</t>
  </si>
  <si>
    <t>Legacy supplier listing</t>
  </si>
  <si>
    <t>Hotel Mesón del Regidor</t>
  </si>
  <si>
    <t>Occidental Miramar</t>
  </si>
  <si>
    <t>Occidental Hotels</t>
  </si>
  <si>
    <t>Occidental Montehabana</t>
  </si>
  <si>
    <t>Allegro Varadero / Allegro Beach Club</t>
  </si>
  <si>
    <t>Hotel Arenas Doradas</t>
  </si>
  <si>
    <t>ROC</t>
  </si>
  <si>
    <t>Hotel Barlovento</t>
  </si>
  <si>
    <t>Hotel Presidente</t>
  </si>
  <si>
    <t>Royalton Hicacos Resort</t>
  </si>
  <si>
    <t>Blue Diamond / Royalton</t>
  </si>
  <si>
    <t>SuperClubs</t>
  </si>
  <si>
    <t>Breezes Bella Costa</t>
  </si>
  <si>
    <t>Breezes Jibacoa</t>
  </si>
  <si>
    <t>Breezes Varadero</t>
  </si>
  <si>
    <t>Havana East / Tarará</t>
  </si>
  <si>
    <t>Cubatur / residential</t>
  </si>
  <si>
    <t>Listed on official Cuba Travel site</t>
  </si>
  <si>
    <t>Official Cuba Travel destination hotel listing</t>
  </si>
  <si>
    <t>Web-audit candidate. Verify operational status and current management before publication.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</si>
</sst>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Carlito"/>
    </font>
    <font>
      <color theme="1"/>
      <name val="Carlito"/>
      <scheme val="minor"/>
    </font>
    <font>
      <u/>
      <color rgb="FF0000FF"/>
    </font>
    <font>
      <b/>
      <sz val="14.0"/>
      <color rgb="FFFFFFFF"/>
      <name val="Carlito"/>
    </font>
    <font>
      <color rgb="FFFF0000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53E75"/>
        <bgColor rgb="FF153E75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Font="1"/>
    <xf borderId="0" fillId="2" fontId="3" numFmtId="0" xfId="0" applyAlignment="1" applyFill="1" applyFont="1">
      <alignment shrinkToFit="0" wrapText="1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 shrinkToFit="0" vertical="center" wrapText="1"/>
    </xf>
    <xf borderId="0" fillId="2" fontId="6" numFmtId="0" xfId="0" applyAlignment="1" applyFill="1" applyFont="1">
      <alignment shrinkToFit="0" wrapText="1"/>
    </xf>
    <xf borderId="0" fillId="0" fontId="7" numFmtId="0" xfId="0" applyAlignment="1" applyFont="1">
      <alignment shrinkToFit="0" vertical="center" wrapText="1"/>
    </xf>
    <xf borderId="0" fillId="2" fontId="3" numFmtId="0" xfId="0" applyFill="1" applyFont="1"/>
    <xf borderId="0" fillId="0" fontId="4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1FAE5"/>
          <bgColor rgb="FFD1FAE5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1D4ED8"/>
      </font>
      <fill>
        <patternFill patternType="solid">
          <fgColor rgb="FFDBEAFE"/>
          <bgColor rgb="FFDBEAFE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  <dxf>
      <font>
        <color rgb="FF6B7280"/>
      </font>
      <fill>
        <patternFill patternType="solid">
          <fgColor rgb="FFF3F4F6"/>
          <bgColor rgb="FFF3F4F6"/>
        </patternFill>
      </fill>
      <border/>
    </dxf>
  </dxfs>
  <tableStyles count="5">
    <tableStyle count="4" pivot="0" name="Master Data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rce Regi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me Changes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orical Chai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Diction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85" displayName="MasterHotelTable" name="MasterHotelTable" id="1">
  <tableColumns count="14">
    <tableColumn name="Current Hotel Name" id="1"/>
    <tableColumn name="Former / Alias Name" id="2"/>
    <tableColumn name="Destination" id="3"/>
    <tableColumn name="Current Group / Management" id="4"/>
    <tableColumn name="Former Chain / Brand" id="5"/>
    <tableColumn name="Operational Status" id="6"/>
    <tableColumn name="Last Verified" id="7"/>
    <tableColumn name="Confidence" id="8"/>
    <tableColumn name="Primary Source" id="9"/>
    <tableColumn name="Source URL" id="10"/>
    <tableColumn name="Notes" id="11"/>
    <tableColumn name="SEO Priority" id="12"/>
    <tableColumn name="GoCuba Page" id="13"/>
    <tableColumn name="CubaHotels Page" id="14"/>
  </tableColumns>
  <tableStyleInfo name="Master Database-style" showColumnStripes="0" showFirstColumn="1" showLastColumn="1" showRowStripes="1"/>
</table>
</file>

<file path=xl/tables/table2.xml><?xml version="1.0" encoding="utf-8"?>
<table xmlns="http://schemas.openxmlformats.org/spreadsheetml/2006/main" ref="A1:J17" displayName="NameChangesTable" name="NameChangesTable" id="4">
  <tableColumns count="10">
    <tableColumn name="Current Name" id="1"/>
    <tableColumn name="Former Name" id="2"/>
    <tableColumn name="Destination" id="3"/>
    <tableColumn name="Current Group" id="4"/>
    <tableColumn name="Former Brand" id="5"/>
    <tableColumn name="Status" id="6"/>
    <tableColumn name="Last Verified" id="7"/>
    <tableColumn name="Confidence" id="8"/>
    <tableColumn name="Source" id="9"/>
    <tableColumn name="Notes" id="10"/>
  </tableColumns>
  <tableStyleInfo name="Name Changes 2026-style" showColumnStripes="0" showFirstColumn="1" showLastColumn="1" showRowStripes="1"/>
</table>
</file>

<file path=xl/tables/table3.xml><?xml version="1.0" encoding="utf-8"?>
<table xmlns="http://schemas.openxmlformats.org/spreadsheetml/2006/main" ref="A1:F24" displayName="HistoricalChainsTable" name="HistoricalChainsTable" id="2">
  <tableColumns count="6">
    <tableColumn name="Hotel / Property" id="1"/>
    <tableColumn name="Destination" id="2"/>
    <tableColumn name="Historical Chain" id="3"/>
    <tableColumn name="Historical Status" id="4"/>
    <tableColumn name="Source / Notes" id="5"/>
    <tableColumn name="Current Mapping Status" id="6"/>
  </tableColumns>
  <tableStyleInfo name="Historical Chains-style" showColumnStripes="0" showFirstColumn="1" showLastColumn="1" showRowStripes="1"/>
</table>
</file>

<file path=xl/tables/table4.xml><?xml version="1.0" encoding="utf-8"?>
<table xmlns="http://schemas.openxmlformats.org/spreadsheetml/2006/main" ref="A1:G23" displayName="SourceRegisterTable" name="SourceRegisterTable" id="3">
  <tableColumns count="7">
    <tableColumn name="Source ID" id="1"/>
    <tableColumn name="Source Type" id="2"/>
    <tableColumn name="Source Name" id="3"/>
    <tableColumn name="Period / Date" id="4"/>
    <tableColumn name="Chain / Scope" id="5"/>
    <tableColumn name="Ingestion Status" id="6"/>
    <tableColumn name="Notes" id="7"/>
  </tableColumns>
  <tableStyleInfo name="Source Register-style" showColumnStripes="0" showFirstColumn="1" showLastColumn="1" showRowStripes="1"/>
</table>
</file>

<file path=xl/tables/table5.xml><?xml version="1.0" encoding="utf-8"?>
<table xmlns="http://schemas.openxmlformats.org/spreadsheetml/2006/main" ref="A1:B14" displayName="DictionaryTable" name="DictionaryTable" id="5">
  <tableColumns count="2">
    <tableColumn name="Field" id="1"/>
    <tableColumn name="Purpose" id="2"/>
  </tableColumns>
  <tableStyleInfo name="Data 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uba.travel/destinos/santiago-de-cuba/hoteles-en-santiago-de-cuba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0"/>
    <col customWidth="1" min="2" max="2" width="27.0"/>
    <col customWidth="1" min="3" max="3" width="20.0"/>
    <col customWidth="1" min="4" max="4" width="23.0"/>
    <col customWidth="1" min="5" max="5" width="19.0"/>
    <col customWidth="1" min="6" max="6" width="24.0"/>
    <col customWidth="1" min="7" max="7" width="13.0"/>
    <col customWidth="1" min="8" max="8" width="11.0"/>
    <col customWidth="1" min="9" max="10" width="32.0"/>
    <col customWidth="1" min="11" max="11" width="38.0"/>
    <col customWidth="1" min="12" max="14" width="16.0"/>
    <col customWidth="1" min="15" max="26" width="8.63"/>
  </cols>
  <sheetData>
    <row r="1">
      <c r="A1" s="1" t="s">
        <v>2</v>
      </c>
      <c r="B1" s="1" t="s">
        <v>7</v>
      </c>
      <c r="C1" s="1" t="s">
        <v>6</v>
      </c>
      <c r="D1" s="1" t="s">
        <v>12</v>
      </c>
      <c r="E1" s="1" t="s">
        <v>17</v>
      </c>
      <c r="F1" s="1" t="s">
        <v>19</v>
      </c>
      <c r="G1" s="1" t="s">
        <v>20</v>
      </c>
      <c r="H1" s="1" t="s">
        <v>21</v>
      </c>
      <c r="I1" s="1" t="s">
        <v>23</v>
      </c>
      <c r="J1" s="1" t="s">
        <v>24</v>
      </c>
      <c r="K1" s="1" t="s">
        <v>18</v>
      </c>
      <c r="L1" s="1" t="s">
        <v>26</v>
      </c>
      <c r="M1" s="1" t="s">
        <v>28</v>
      </c>
      <c r="N1" s="1" t="s">
        <v>29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33</v>
      </c>
      <c r="B2" s="3"/>
      <c r="C2" s="3" t="s">
        <v>37</v>
      </c>
      <c r="D2" s="3" t="s">
        <v>40</v>
      </c>
      <c r="E2" s="3"/>
      <c r="F2" s="3" t="s">
        <v>44</v>
      </c>
      <c r="G2" s="3" t="s">
        <v>46</v>
      </c>
      <c r="H2" s="3" t="s">
        <v>48</v>
      </c>
      <c r="I2" s="3" t="s">
        <v>51</v>
      </c>
      <c r="J2" s="3"/>
      <c r="K2" s="3" t="s">
        <v>53</v>
      </c>
      <c r="L2" s="3" t="str">
        <f>IF(A2="","",IF(OR(COUNTIF('Priority Rules'!$A$2:$A$24,A2)&gt;0,COUNTIF('Priority Rules'!$B$2:$B$8,B2)&gt;0),"P1",IF(COUNTIF('Priority Rules'!$C$2:$C$9,A2)&gt;0,"P2",IF(AND(OR(ISNUMBER(SEARCH("Varadero",C2)),ISNUMBER(SEARCH("Cayo Coco",C2)),ISNUMBER(SEARCH("Cayo Santa María",C2)),ISNUMBER(SEARCH("Cayo Santa Maria",C2)),ISNUMBER(SEARCH("Cayo Guillermo",C2)),ISNUMBER(SEARCH("Cayo Las Brujas",C2)),ISNUMBER(SEARCH("Cayo Ensenachos",C2)),ISNUMBER(SEARCH("Holguín",C2)),ISNUMBER(SEARCH("Holguin",C2)),ISNUMBER(SEARCH("Havana",C2)),ISNUMBER(SEARCH("Old Havana",C2)),ISNUMBER(SEARCH("Vedado",C2)),ISNUMBER(SEARCH("Miramar",C2))),NOT(ISNUMBER(SEARCH("historical",F2)))),"P2",IF(OR(ISNUMBER(SEARCH("historical",F2)),H2="Low",ISNUMBER(SEARCH("to verify",F2)),ISNUMBER(SEARCH("requires verification",F2))),"Backlog","P3")))))</f>
        <v>Backlog</v>
      </c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90</v>
      </c>
      <c r="B3" s="3"/>
      <c r="C3" s="3" t="s">
        <v>37</v>
      </c>
      <c r="D3" s="3" t="s">
        <v>40</v>
      </c>
      <c r="E3" s="3"/>
      <c r="F3" s="3" t="s">
        <v>44</v>
      </c>
      <c r="G3" s="3" t="s">
        <v>46</v>
      </c>
      <c r="H3" s="3" t="s">
        <v>48</v>
      </c>
      <c r="I3" s="3" t="s">
        <v>51</v>
      </c>
      <c r="J3" s="3"/>
      <c r="K3" s="3" t="s">
        <v>53</v>
      </c>
      <c r="L3" s="3" t="str">
        <f>IF(A3="","",IF(OR(COUNTIF('Priority Rules'!$A$2:$A$24,A3)&gt;0,COUNTIF('Priority Rules'!$B$2:$B$8,B3)&gt;0),"P2",IF(COUNTIF('Priority Rules'!$C$2:$C$9,A3)&gt;0,"P3",IF(AND(OR(ISNUMBER(SEARCH("Varadero",C3)),ISNUMBER(SEARCH("Cayo Coco",C3)),ISNUMBER(SEARCH("Cayo Santa María",C3)),ISNUMBER(SEARCH("Cayo Santa Maria",C3)),ISNUMBER(SEARCH("Cayo Guillermo",C3)),ISNUMBER(SEARCH("Cayo Las Brujas",C3)),ISNUMBER(SEARCH("Cayo Ensenachos",C3)),ISNUMBER(SEARCH("Holguín",C3)),ISNUMBER(SEARCH("Holguin",C3)),ISNUMBER(SEARCH("Havana",C3)),ISNUMBER(SEARCH("Old Havana",C3)),ISNUMBER(SEARCH("Vedado",C3)),ISNUMBER(SEARCH("Miramar",C3))),NOT(ISNUMBER(SEARCH("historical",F3)))),"P3",IF(OR(ISNUMBER(SEARCH("historical",F3)),H3="Low",ISNUMBER(SEARCH("to verify",F3)),ISNUMBER(SEARCH("requires verification",F3))),"Backlog","P4")))))</f>
        <v>Backlog</v>
      </c>
      <c r="M3" s="3"/>
      <c r="N3" s="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121</v>
      </c>
      <c r="B4" s="3"/>
      <c r="C4" s="3" t="s">
        <v>37</v>
      </c>
      <c r="D4" s="3" t="s">
        <v>40</v>
      </c>
      <c r="E4" s="3"/>
      <c r="F4" s="3" t="s">
        <v>44</v>
      </c>
      <c r="G4" s="3" t="s">
        <v>46</v>
      </c>
      <c r="H4" s="3" t="s">
        <v>48</v>
      </c>
      <c r="I4" s="3" t="s">
        <v>51</v>
      </c>
      <c r="J4" s="3"/>
      <c r="K4" s="3" t="s">
        <v>53</v>
      </c>
      <c r="L4" s="3" t="str">
        <f>IF(A4="","",IF(OR(COUNTIF('Priority Rules'!$A$2:$A$24,A4)&gt;0,COUNTIF('Priority Rules'!$B$2:$B$8,B4)&gt;0),"P3",IF(COUNTIF('Priority Rules'!$C$2:$C$9,A4)&gt;0,"P4",IF(AND(OR(ISNUMBER(SEARCH("Varadero",C4)),ISNUMBER(SEARCH("Cayo Coco",C4)),ISNUMBER(SEARCH("Cayo Santa María",C4)),ISNUMBER(SEARCH("Cayo Santa Maria",C4)),ISNUMBER(SEARCH("Cayo Guillermo",C4)),ISNUMBER(SEARCH("Cayo Las Brujas",C4)),ISNUMBER(SEARCH("Cayo Ensenachos",C4)),ISNUMBER(SEARCH("Holguín",C4)),ISNUMBER(SEARCH("Holguin",C4)),ISNUMBER(SEARCH("Havana",C4)),ISNUMBER(SEARCH("Old Havana",C4)),ISNUMBER(SEARCH("Vedado",C4)),ISNUMBER(SEARCH("Miramar",C4))),NOT(ISNUMBER(SEARCH("historical",F4)))),"P4",IF(OR(ISNUMBER(SEARCH("historical",F4)),H4="Low",ISNUMBER(SEARCH("to verify",F4)),ISNUMBER(SEARCH("requires verification",F4))),"Backlog","P5")))))</f>
        <v>Backlog</v>
      </c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145</v>
      </c>
      <c r="B5" s="3"/>
      <c r="C5" s="3" t="s">
        <v>149</v>
      </c>
      <c r="D5" s="3" t="s">
        <v>40</v>
      </c>
      <c r="E5" s="3"/>
      <c r="F5" s="3" t="s">
        <v>44</v>
      </c>
      <c r="G5" s="3" t="s">
        <v>46</v>
      </c>
      <c r="H5" s="3" t="s">
        <v>48</v>
      </c>
      <c r="I5" s="3" t="s">
        <v>51</v>
      </c>
      <c r="J5" s="3"/>
      <c r="K5" s="3" t="s">
        <v>53</v>
      </c>
      <c r="L5" s="3" t="str">
        <f>IF(A5="","",IF(OR(COUNTIF('Priority Rules'!$A$2:$A$24,A5)&gt;0,COUNTIF('Priority Rules'!$B$2:$B$8,B5)&gt;0),"P4",IF(COUNTIF('Priority Rules'!$C$2:$C$9,A5)&gt;0,"P5",IF(AND(OR(ISNUMBER(SEARCH("Varadero",C5)),ISNUMBER(SEARCH("Cayo Coco",C5)),ISNUMBER(SEARCH("Cayo Santa María",C5)),ISNUMBER(SEARCH("Cayo Santa Maria",C5)),ISNUMBER(SEARCH("Cayo Guillermo",C5)),ISNUMBER(SEARCH("Cayo Las Brujas",C5)),ISNUMBER(SEARCH("Cayo Ensenachos",C5)),ISNUMBER(SEARCH("Holguín",C5)),ISNUMBER(SEARCH("Holguin",C5)),ISNUMBER(SEARCH("Havana",C5)),ISNUMBER(SEARCH("Old Havana",C5)),ISNUMBER(SEARCH("Vedado",C5)),ISNUMBER(SEARCH("Miramar",C5))),NOT(ISNUMBER(SEARCH("historical",F5)))),"P5",IF(OR(ISNUMBER(SEARCH("historical",F5)),H5="Low",ISNUMBER(SEARCH("to verify",F5)),ISNUMBER(SEARCH("requires verification",F5))),"Backlog","P6")))))</f>
        <v>Backlog</v>
      </c>
      <c r="M5" s="3"/>
      <c r="N5" s="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171</v>
      </c>
      <c r="B6" s="3"/>
      <c r="C6" s="3" t="s">
        <v>172</v>
      </c>
      <c r="D6" s="3" t="s">
        <v>40</v>
      </c>
      <c r="E6" s="3"/>
      <c r="F6" s="3" t="s">
        <v>44</v>
      </c>
      <c r="G6" s="3" t="s">
        <v>46</v>
      </c>
      <c r="H6" s="3" t="s">
        <v>48</v>
      </c>
      <c r="I6" s="3" t="s">
        <v>51</v>
      </c>
      <c r="J6" s="3"/>
      <c r="K6" s="3" t="s">
        <v>53</v>
      </c>
      <c r="L6" s="3" t="str">
        <f>IF(A6="","",IF(OR(COUNTIF('Priority Rules'!$A$2:$A$24,A6)&gt;0,COUNTIF('Priority Rules'!$B$2:$B$8,B6)&gt;0),"P5",IF(COUNTIF('Priority Rules'!$C$2:$C$9,A6)&gt;0,"P6",IF(AND(OR(ISNUMBER(SEARCH("Varadero",C6)),ISNUMBER(SEARCH("Cayo Coco",C6)),ISNUMBER(SEARCH("Cayo Santa María",C6)),ISNUMBER(SEARCH("Cayo Santa Maria",C6)),ISNUMBER(SEARCH("Cayo Guillermo",C6)),ISNUMBER(SEARCH("Cayo Las Brujas",C6)),ISNUMBER(SEARCH("Cayo Ensenachos",C6)),ISNUMBER(SEARCH("Holguín",C6)),ISNUMBER(SEARCH("Holguin",C6)),ISNUMBER(SEARCH("Havana",C6)),ISNUMBER(SEARCH("Old Havana",C6)),ISNUMBER(SEARCH("Vedado",C6)),ISNUMBER(SEARCH("Miramar",C6))),NOT(ISNUMBER(SEARCH("historical",F6)))),"P6",IF(OR(ISNUMBER(SEARCH("historical",F6)),H6="Low",ISNUMBER(SEARCH("to verify",F6)),ISNUMBER(SEARCH("requires verification",F6))),"Backlog","P7")))))</f>
        <v>Backlog</v>
      </c>
      <c r="M6" s="3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190</v>
      </c>
      <c r="B7" s="3"/>
      <c r="C7" s="3" t="s">
        <v>39</v>
      </c>
      <c r="D7" s="3" t="s">
        <v>40</v>
      </c>
      <c r="E7" s="3"/>
      <c r="F7" s="3" t="s">
        <v>44</v>
      </c>
      <c r="G7" s="3" t="s">
        <v>46</v>
      </c>
      <c r="H7" s="3" t="s">
        <v>48</v>
      </c>
      <c r="I7" s="3" t="s">
        <v>51</v>
      </c>
      <c r="J7" s="3"/>
      <c r="K7" s="3" t="s">
        <v>53</v>
      </c>
      <c r="L7" s="3" t="str">
        <f>IF(A7="","",IF(OR(COUNTIF('Priority Rules'!$A$2:$A$24,A7)&gt;0,COUNTIF('Priority Rules'!$B$2:$B$8,B7)&gt;0),"P6",IF(COUNTIF('Priority Rules'!$C$2:$C$9,A7)&gt;0,"P7",IF(AND(OR(ISNUMBER(SEARCH("Varadero",C7)),ISNUMBER(SEARCH("Cayo Coco",C7)),ISNUMBER(SEARCH("Cayo Santa María",C7)),ISNUMBER(SEARCH("Cayo Santa Maria",C7)),ISNUMBER(SEARCH("Cayo Guillermo",C7)),ISNUMBER(SEARCH("Cayo Las Brujas",C7)),ISNUMBER(SEARCH("Cayo Ensenachos",C7)),ISNUMBER(SEARCH("Holguín",C7)),ISNUMBER(SEARCH("Holguin",C7)),ISNUMBER(SEARCH("Havana",C7)),ISNUMBER(SEARCH("Old Havana",C7)),ISNUMBER(SEARCH("Vedado",C7)),ISNUMBER(SEARCH("Miramar",C7))),NOT(ISNUMBER(SEARCH("historical",F7)))),"P7",IF(OR(ISNUMBER(SEARCH("historical",F7)),H7="Low",ISNUMBER(SEARCH("to verify",F7)),ISNUMBER(SEARCH("requires verification",F7))),"Backlog","P8")))))</f>
        <v>Backlog</v>
      </c>
      <c r="M7" s="3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214</v>
      </c>
      <c r="B8" s="3"/>
      <c r="C8" s="3" t="s">
        <v>39</v>
      </c>
      <c r="D8" s="3" t="s">
        <v>40</v>
      </c>
      <c r="E8" s="3"/>
      <c r="F8" s="3" t="s">
        <v>44</v>
      </c>
      <c r="G8" s="3" t="s">
        <v>46</v>
      </c>
      <c r="H8" s="3" t="s">
        <v>48</v>
      </c>
      <c r="I8" s="3" t="s">
        <v>51</v>
      </c>
      <c r="J8" s="3"/>
      <c r="K8" s="3" t="s">
        <v>53</v>
      </c>
      <c r="L8" s="3" t="str">
        <f>IF(A8="","",IF(OR(COUNTIF('Priority Rules'!$A$2:$A$24,A8)&gt;0,COUNTIF('Priority Rules'!$B$2:$B$8,B8)&gt;0),"P7",IF(COUNTIF('Priority Rules'!$C$2:$C$9,A8)&gt;0,"P8",IF(AND(OR(ISNUMBER(SEARCH("Varadero",C8)),ISNUMBER(SEARCH("Cayo Coco",C8)),ISNUMBER(SEARCH("Cayo Santa María",C8)),ISNUMBER(SEARCH("Cayo Santa Maria",C8)),ISNUMBER(SEARCH("Cayo Guillermo",C8)),ISNUMBER(SEARCH("Cayo Las Brujas",C8)),ISNUMBER(SEARCH("Cayo Ensenachos",C8)),ISNUMBER(SEARCH("Holguín",C8)),ISNUMBER(SEARCH("Holguin",C8)),ISNUMBER(SEARCH("Havana",C8)),ISNUMBER(SEARCH("Old Havana",C8)),ISNUMBER(SEARCH("Vedado",C8)),ISNUMBER(SEARCH("Miramar",C8))),NOT(ISNUMBER(SEARCH("historical",F8)))),"P8",IF(OR(ISNUMBER(SEARCH("historical",F8)),H8="Low",ISNUMBER(SEARCH("to verify",F8)),ISNUMBER(SEARCH("requires verification",F8))),"Backlog","P9")))))</f>
        <v>Backlog</v>
      </c>
      <c r="M8" s="3"/>
      <c r="N8" s="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238</v>
      </c>
      <c r="B9" s="3"/>
      <c r="C9" s="3" t="s">
        <v>39</v>
      </c>
      <c r="D9" s="3" t="s">
        <v>40</v>
      </c>
      <c r="E9" s="3"/>
      <c r="F9" s="3" t="s">
        <v>44</v>
      </c>
      <c r="G9" s="3" t="s">
        <v>46</v>
      </c>
      <c r="H9" s="3" t="s">
        <v>48</v>
      </c>
      <c r="I9" s="3" t="s">
        <v>51</v>
      </c>
      <c r="J9" s="3"/>
      <c r="K9" s="3" t="s">
        <v>53</v>
      </c>
      <c r="L9" s="3" t="str">
        <f>IF(A9="","",IF(OR(COUNTIF('Priority Rules'!$A$2:$A$24,A9)&gt;0,COUNTIF('Priority Rules'!$B$2:$B$8,B9)&gt;0),"P8",IF(COUNTIF('Priority Rules'!$C$2:$C$9,A9)&gt;0,"P9",IF(AND(OR(ISNUMBER(SEARCH("Varadero",C9)),ISNUMBER(SEARCH("Cayo Coco",C9)),ISNUMBER(SEARCH("Cayo Santa María",C9)),ISNUMBER(SEARCH("Cayo Santa Maria",C9)),ISNUMBER(SEARCH("Cayo Guillermo",C9)),ISNUMBER(SEARCH("Cayo Las Brujas",C9)),ISNUMBER(SEARCH("Cayo Ensenachos",C9)),ISNUMBER(SEARCH("Holguín",C9)),ISNUMBER(SEARCH("Holguin",C9)),ISNUMBER(SEARCH("Havana",C9)),ISNUMBER(SEARCH("Old Havana",C9)),ISNUMBER(SEARCH("Vedado",C9)),ISNUMBER(SEARCH("Miramar",C9))),NOT(ISNUMBER(SEARCH("historical",F9)))),"P9",IF(OR(ISNUMBER(SEARCH("historical",F9)),H9="Low",ISNUMBER(SEARCH("to verify",F9)),ISNUMBER(SEARCH("requires verification",F9))),"Backlog","P10")))))</f>
        <v>Backlog</v>
      </c>
      <c r="M9" s="3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239</v>
      </c>
      <c r="B10" s="3"/>
      <c r="C10" s="3" t="s">
        <v>240</v>
      </c>
      <c r="D10" s="3" t="s">
        <v>40</v>
      </c>
      <c r="E10" s="3"/>
      <c r="F10" s="3" t="s">
        <v>44</v>
      </c>
      <c r="G10" s="3" t="s">
        <v>46</v>
      </c>
      <c r="H10" s="3" t="s">
        <v>48</v>
      </c>
      <c r="I10" s="3" t="s">
        <v>51</v>
      </c>
      <c r="J10" s="3"/>
      <c r="K10" s="3" t="s">
        <v>53</v>
      </c>
      <c r="L10" s="3" t="str">
        <f>IF(A10="","",IF(OR(COUNTIF('Priority Rules'!$A$2:$A$24,A10)&gt;0,COUNTIF('Priority Rules'!$B$2:$B$8,B10)&gt;0),"P9",IF(COUNTIF('Priority Rules'!$C$2:$C$9,A10)&gt;0,"P10",IF(AND(OR(ISNUMBER(SEARCH("Varadero",C10)),ISNUMBER(SEARCH("Cayo Coco",C10)),ISNUMBER(SEARCH("Cayo Santa María",C10)),ISNUMBER(SEARCH("Cayo Santa Maria",C10)),ISNUMBER(SEARCH("Cayo Guillermo",C10)),ISNUMBER(SEARCH("Cayo Las Brujas",C10)),ISNUMBER(SEARCH("Cayo Ensenachos",C10)),ISNUMBER(SEARCH("Holguín",C10)),ISNUMBER(SEARCH("Holguin",C10)),ISNUMBER(SEARCH("Havana",C10)),ISNUMBER(SEARCH("Old Havana",C10)),ISNUMBER(SEARCH("Vedado",C10)),ISNUMBER(SEARCH("Miramar",C10))),NOT(ISNUMBER(SEARCH("historical",F10)))),"P10",IF(OR(ISNUMBER(SEARCH("historical",F10)),H10="Low",ISNUMBER(SEARCH("to verify",F10)),ISNUMBER(SEARCH("requires verification",F10))),"Backlog","P11")))))</f>
        <v>Backlog</v>
      </c>
      <c r="M10" s="3"/>
      <c r="N10" s="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241</v>
      </c>
      <c r="B11" s="3"/>
      <c r="C11" s="3" t="s">
        <v>242</v>
      </c>
      <c r="D11" s="3" t="s">
        <v>40</v>
      </c>
      <c r="E11" s="3"/>
      <c r="F11" s="3" t="s">
        <v>44</v>
      </c>
      <c r="G11" s="3" t="s">
        <v>46</v>
      </c>
      <c r="H11" s="3" t="s">
        <v>48</v>
      </c>
      <c r="I11" s="3" t="s">
        <v>51</v>
      </c>
      <c r="J11" s="3"/>
      <c r="K11" s="3" t="s">
        <v>53</v>
      </c>
      <c r="L11" s="3" t="str">
        <f>IF(A11="","",IF(OR(COUNTIF('Priority Rules'!$A$2:$A$24,A11)&gt;0,COUNTIF('Priority Rules'!$B$2:$B$8,B11)&gt;0),"P10",IF(COUNTIF('Priority Rules'!$C$2:$C$9,A11)&gt;0,"P11",IF(AND(OR(ISNUMBER(SEARCH("Varadero",C11)),ISNUMBER(SEARCH("Cayo Coco",C11)),ISNUMBER(SEARCH("Cayo Santa María",C11)),ISNUMBER(SEARCH("Cayo Santa Maria",C11)),ISNUMBER(SEARCH("Cayo Guillermo",C11)),ISNUMBER(SEARCH("Cayo Las Brujas",C11)),ISNUMBER(SEARCH("Cayo Ensenachos",C11)),ISNUMBER(SEARCH("Holguín",C11)),ISNUMBER(SEARCH("Holguin",C11)),ISNUMBER(SEARCH("Havana",C11)),ISNUMBER(SEARCH("Old Havana",C11)),ISNUMBER(SEARCH("Vedado",C11)),ISNUMBER(SEARCH("Miramar",C11))),NOT(ISNUMBER(SEARCH("historical",F11)))),"P11",IF(OR(ISNUMBER(SEARCH("historical",F11)),H11="Low",ISNUMBER(SEARCH("to verify",F11)),ISNUMBER(SEARCH("requires verification",F11))),"Backlog","P12")))))</f>
        <v>Backlog</v>
      </c>
      <c r="M11" s="3"/>
      <c r="N11" s="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243</v>
      </c>
      <c r="B12" s="3"/>
      <c r="C12" s="3" t="s">
        <v>242</v>
      </c>
      <c r="D12" s="3" t="s">
        <v>40</v>
      </c>
      <c r="E12" s="3"/>
      <c r="F12" s="3" t="s">
        <v>44</v>
      </c>
      <c r="G12" s="3" t="s">
        <v>46</v>
      </c>
      <c r="H12" s="3" t="s">
        <v>48</v>
      </c>
      <c r="I12" s="3" t="s">
        <v>51</v>
      </c>
      <c r="J12" s="3"/>
      <c r="K12" s="3" t="s">
        <v>53</v>
      </c>
      <c r="L12" s="3" t="str">
        <f>IF(A12="","",IF(OR(COUNTIF('Priority Rules'!$A$2:$A$24,A12)&gt;0,COUNTIF('Priority Rules'!$B$2:$B$8,B12)&gt;0),"P11",IF(COUNTIF('Priority Rules'!$C$2:$C$9,A12)&gt;0,"P12",IF(AND(OR(ISNUMBER(SEARCH("Varadero",C12)),ISNUMBER(SEARCH("Cayo Coco",C12)),ISNUMBER(SEARCH("Cayo Santa María",C12)),ISNUMBER(SEARCH("Cayo Santa Maria",C12)),ISNUMBER(SEARCH("Cayo Guillermo",C12)),ISNUMBER(SEARCH("Cayo Las Brujas",C12)),ISNUMBER(SEARCH("Cayo Ensenachos",C12)),ISNUMBER(SEARCH("Holguín",C12)),ISNUMBER(SEARCH("Holguin",C12)),ISNUMBER(SEARCH("Havana",C12)),ISNUMBER(SEARCH("Old Havana",C12)),ISNUMBER(SEARCH("Vedado",C12)),ISNUMBER(SEARCH("Miramar",C12))),NOT(ISNUMBER(SEARCH("historical",F12)))),"P12",IF(OR(ISNUMBER(SEARCH("historical",F12)),H12="Low",ISNUMBER(SEARCH("to verify",F12)),ISNUMBER(SEARCH("requires verification",F12))),"Backlog","P13")))))</f>
        <v>Backlog</v>
      </c>
      <c r="M12" s="3"/>
      <c r="N12" s="3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244</v>
      </c>
      <c r="B13" s="3"/>
      <c r="C13" s="3" t="s">
        <v>245</v>
      </c>
      <c r="D13" s="3" t="s">
        <v>40</v>
      </c>
      <c r="E13" s="3"/>
      <c r="F13" s="3" t="s">
        <v>44</v>
      </c>
      <c r="G13" s="3" t="s">
        <v>46</v>
      </c>
      <c r="H13" s="3" t="s">
        <v>48</v>
      </c>
      <c r="I13" s="3" t="s">
        <v>51</v>
      </c>
      <c r="J13" s="3"/>
      <c r="K13" s="3" t="s">
        <v>53</v>
      </c>
      <c r="L13" s="3" t="str">
        <f>IF(A13="","",IF(OR(COUNTIF('Priority Rules'!$A$2:$A$24,A13)&gt;0,COUNTIF('Priority Rules'!$B$2:$B$8,B13)&gt;0),"P12",IF(COUNTIF('Priority Rules'!$C$2:$C$9,A13)&gt;0,"P13",IF(AND(OR(ISNUMBER(SEARCH("Varadero",C13)),ISNUMBER(SEARCH("Cayo Coco",C13)),ISNUMBER(SEARCH("Cayo Santa María",C13)),ISNUMBER(SEARCH("Cayo Santa Maria",C13)),ISNUMBER(SEARCH("Cayo Guillermo",C13)),ISNUMBER(SEARCH("Cayo Las Brujas",C13)),ISNUMBER(SEARCH("Cayo Ensenachos",C13)),ISNUMBER(SEARCH("Holguín",C13)),ISNUMBER(SEARCH("Holguin",C13)),ISNUMBER(SEARCH("Havana",C13)),ISNUMBER(SEARCH("Old Havana",C13)),ISNUMBER(SEARCH("Vedado",C13)),ISNUMBER(SEARCH("Miramar",C13))),NOT(ISNUMBER(SEARCH("historical",F13)))),"P13",IF(OR(ISNUMBER(SEARCH("historical",F13)),H13="Low",ISNUMBER(SEARCH("to verify",F13)),ISNUMBER(SEARCH("requires verification",F13))),"Backlog","P14")))))</f>
        <v>Backlog</v>
      </c>
      <c r="M13" s="3"/>
      <c r="N13" s="3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246</v>
      </c>
      <c r="B14" s="3"/>
      <c r="C14" s="3" t="s">
        <v>247</v>
      </c>
      <c r="D14" s="3" t="s">
        <v>40</v>
      </c>
      <c r="E14" s="3"/>
      <c r="F14" s="3" t="s">
        <v>44</v>
      </c>
      <c r="G14" s="3" t="s">
        <v>46</v>
      </c>
      <c r="H14" s="3" t="s">
        <v>48</v>
      </c>
      <c r="I14" s="3" t="s">
        <v>51</v>
      </c>
      <c r="J14" s="3"/>
      <c r="K14" s="3" t="s">
        <v>53</v>
      </c>
      <c r="L14" s="3" t="str">
        <f>IF(A14="","",IF(OR(COUNTIF('Priority Rules'!$A$2:$A$24,A14)&gt;0,COUNTIF('Priority Rules'!$B$2:$B$8,B14)&gt;0),"P13",IF(COUNTIF('Priority Rules'!$C$2:$C$9,A14)&gt;0,"P14",IF(AND(OR(ISNUMBER(SEARCH("Varadero",C14)),ISNUMBER(SEARCH("Cayo Coco",C14)),ISNUMBER(SEARCH("Cayo Santa María",C14)),ISNUMBER(SEARCH("Cayo Santa Maria",C14)),ISNUMBER(SEARCH("Cayo Guillermo",C14)),ISNUMBER(SEARCH("Cayo Las Brujas",C14)),ISNUMBER(SEARCH("Cayo Ensenachos",C14)),ISNUMBER(SEARCH("Holguín",C14)),ISNUMBER(SEARCH("Holguin",C14)),ISNUMBER(SEARCH("Havana",C14)),ISNUMBER(SEARCH("Old Havana",C14)),ISNUMBER(SEARCH("Vedado",C14)),ISNUMBER(SEARCH("Miramar",C14))),NOT(ISNUMBER(SEARCH("historical",F14)))),"P14",IF(OR(ISNUMBER(SEARCH("historical",F14)),H14="Low",ISNUMBER(SEARCH("to verify",F14)),ISNUMBER(SEARCH("requires verification",F14))),"Backlog","P15")))))</f>
        <v>Backlog</v>
      </c>
      <c r="M14" s="3"/>
      <c r="N14" s="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248</v>
      </c>
      <c r="B15" s="3"/>
      <c r="C15" s="3" t="s">
        <v>247</v>
      </c>
      <c r="D15" s="3" t="s">
        <v>40</v>
      </c>
      <c r="E15" s="3"/>
      <c r="F15" s="3" t="s">
        <v>44</v>
      </c>
      <c r="G15" s="3" t="s">
        <v>46</v>
      </c>
      <c r="H15" s="3" t="s">
        <v>48</v>
      </c>
      <c r="I15" s="3" t="s">
        <v>51</v>
      </c>
      <c r="J15" s="3"/>
      <c r="K15" s="3" t="s">
        <v>53</v>
      </c>
      <c r="L15" s="3" t="str">
        <f>IF(A15="","",IF(OR(COUNTIF('Priority Rules'!$A$2:$A$24,A15)&gt;0,COUNTIF('Priority Rules'!$B$2:$B$8,B15)&gt;0),"P14",IF(COUNTIF('Priority Rules'!$C$2:$C$9,A15)&gt;0,"P15",IF(AND(OR(ISNUMBER(SEARCH("Varadero",C15)),ISNUMBER(SEARCH("Cayo Coco",C15)),ISNUMBER(SEARCH("Cayo Santa María",C15)),ISNUMBER(SEARCH("Cayo Santa Maria",C15)),ISNUMBER(SEARCH("Cayo Guillermo",C15)),ISNUMBER(SEARCH("Cayo Las Brujas",C15)),ISNUMBER(SEARCH("Cayo Ensenachos",C15)),ISNUMBER(SEARCH("Holguín",C15)),ISNUMBER(SEARCH("Holguin",C15)),ISNUMBER(SEARCH("Havana",C15)),ISNUMBER(SEARCH("Old Havana",C15)),ISNUMBER(SEARCH("Vedado",C15)),ISNUMBER(SEARCH("Miramar",C15))),NOT(ISNUMBER(SEARCH("historical",F15)))),"P15",IF(OR(ISNUMBER(SEARCH("historical",F15)),H15="Low",ISNUMBER(SEARCH("to verify",F15)),ISNUMBER(SEARCH("requires verification",F15))),"Backlog","P16")))))</f>
        <v>Backlog</v>
      </c>
      <c r="M15" s="3"/>
      <c r="N15" s="3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249</v>
      </c>
      <c r="B16" s="3"/>
      <c r="C16" s="3" t="s">
        <v>247</v>
      </c>
      <c r="D16" s="3" t="s">
        <v>40</v>
      </c>
      <c r="E16" s="3"/>
      <c r="F16" s="3" t="s">
        <v>44</v>
      </c>
      <c r="G16" s="3" t="s">
        <v>46</v>
      </c>
      <c r="H16" s="3" t="s">
        <v>48</v>
      </c>
      <c r="I16" s="3" t="s">
        <v>51</v>
      </c>
      <c r="J16" s="3"/>
      <c r="K16" s="3" t="s">
        <v>53</v>
      </c>
      <c r="L16" s="3" t="str">
        <f>IF(A16="","",IF(OR(COUNTIF('Priority Rules'!$A$2:$A$24,A16)&gt;0,COUNTIF('Priority Rules'!$B$2:$B$8,B16)&gt;0),"P15",IF(COUNTIF('Priority Rules'!$C$2:$C$9,A16)&gt;0,"P16",IF(AND(OR(ISNUMBER(SEARCH("Varadero",C16)),ISNUMBER(SEARCH("Cayo Coco",C16)),ISNUMBER(SEARCH("Cayo Santa María",C16)),ISNUMBER(SEARCH("Cayo Santa Maria",C16)),ISNUMBER(SEARCH("Cayo Guillermo",C16)),ISNUMBER(SEARCH("Cayo Las Brujas",C16)),ISNUMBER(SEARCH("Cayo Ensenachos",C16)),ISNUMBER(SEARCH("Holguín",C16)),ISNUMBER(SEARCH("Holguin",C16)),ISNUMBER(SEARCH("Havana",C16)),ISNUMBER(SEARCH("Old Havana",C16)),ISNUMBER(SEARCH("Vedado",C16)),ISNUMBER(SEARCH("Miramar",C16))),NOT(ISNUMBER(SEARCH("historical",F16)))),"P16",IF(OR(ISNUMBER(SEARCH("historical",F16)),H16="Low",ISNUMBER(SEARCH("to verify",F16)),ISNUMBER(SEARCH("requires verification",F16))),"Backlog","P17")))))</f>
        <v>Backlog</v>
      </c>
      <c r="M16" s="3"/>
      <c r="N16" s="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250</v>
      </c>
      <c r="B17" s="3"/>
      <c r="C17" s="3" t="s">
        <v>247</v>
      </c>
      <c r="D17" s="3" t="s">
        <v>40</v>
      </c>
      <c r="E17" s="3"/>
      <c r="F17" s="3" t="s">
        <v>44</v>
      </c>
      <c r="G17" s="3" t="s">
        <v>46</v>
      </c>
      <c r="H17" s="3" t="s">
        <v>48</v>
      </c>
      <c r="I17" s="3" t="s">
        <v>51</v>
      </c>
      <c r="J17" s="3"/>
      <c r="K17" s="3" t="s">
        <v>53</v>
      </c>
      <c r="L17" s="3" t="str">
        <f>IF(A17="","",IF(OR(COUNTIF('Priority Rules'!$A$2:$A$24,A17)&gt;0,COUNTIF('Priority Rules'!$B$2:$B$8,B17)&gt;0),"P16",IF(COUNTIF('Priority Rules'!$C$2:$C$9,A17)&gt;0,"P17",IF(AND(OR(ISNUMBER(SEARCH("Varadero",C17)),ISNUMBER(SEARCH("Cayo Coco",C17)),ISNUMBER(SEARCH("Cayo Santa María",C17)),ISNUMBER(SEARCH("Cayo Santa Maria",C17)),ISNUMBER(SEARCH("Cayo Guillermo",C17)),ISNUMBER(SEARCH("Cayo Las Brujas",C17)),ISNUMBER(SEARCH("Cayo Ensenachos",C17)),ISNUMBER(SEARCH("Holguín",C17)),ISNUMBER(SEARCH("Holguin",C17)),ISNUMBER(SEARCH("Havana",C17)),ISNUMBER(SEARCH("Old Havana",C17)),ISNUMBER(SEARCH("Vedado",C17)),ISNUMBER(SEARCH("Miramar",C17))),NOT(ISNUMBER(SEARCH("historical",F17)))),"P17",IF(OR(ISNUMBER(SEARCH("historical",F17)),H17="Low",ISNUMBER(SEARCH("to verify",F17)),ISNUMBER(SEARCH("requires verification",F17))),"Backlog","P18")))))</f>
        <v>Backlog</v>
      </c>
      <c r="M17" s="3"/>
      <c r="N17" s="3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251</v>
      </c>
      <c r="B18" s="3"/>
      <c r="C18" s="3" t="s">
        <v>252</v>
      </c>
      <c r="D18" s="3" t="s">
        <v>40</v>
      </c>
      <c r="E18" s="3"/>
      <c r="F18" s="3" t="s">
        <v>44</v>
      </c>
      <c r="G18" s="3" t="s">
        <v>46</v>
      </c>
      <c r="H18" s="3" t="s">
        <v>48</v>
      </c>
      <c r="I18" s="3" t="s">
        <v>51</v>
      </c>
      <c r="J18" s="3"/>
      <c r="K18" s="3" t="s">
        <v>53</v>
      </c>
      <c r="L18" s="3" t="str">
        <f>IF(A18="","",IF(OR(COUNTIF('Priority Rules'!$A$2:$A$24,A18)&gt;0,COUNTIF('Priority Rules'!$B$2:$B$8,B18)&gt;0),"P17",IF(COUNTIF('Priority Rules'!$C$2:$C$9,A18)&gt;0,"P18",IF(AND(OR(ISNUMBER(SEARCH("Varadero",C18)),ISNUMBER(SEARCH("Cayo Coco",C18)),ISNUMBER(SEARCH("Cayo Santa María",C18)),ISNUMBER(SEARCH("Cayo Santa Maria",C18)),ISNUMBER(SEARCH("Cayo Guillermo",C18)),ISNUMBER(SEARCH("Cayo Las Brujas",C18)),ISNUMBER(SEARCH("Cayo Ensenachos",C18)),ISNUMBER(SEARCH("Holguín",C18)),ISNUMBER(SEARCH("Holguin",C18)),ISNUMBER(SEARCH("Havana",C18)),ISNUMBER(SEARCH("Old Havana",C18)),ISNUMBER(SEARCH("Vedado",C18)),ISNUMBER(SEARCH("Miramar",C18))),NOT(ISNUMBER(SEARCH("historical",F18)))),"P18",IF(OR(ISNUMBER(SEARCH("historical",F18)),H18="Low",ISNUMBER(SEARCH("to verify",F18)),ISNUMBER(SEARCH("requires verification",F18))),"Backlog","P19")))))</f>
        <v>Backlog</v>
      </c>
      <c r="M18" s="3"/>
      <c r="N18" s="3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253</v>
      </c>
      <c r="B19" s="3"/>
      <c r="C19" s="3" t="s">
        <v>252</v>
      </c>
      <c r="D19" s="3" t="s">
        <v>40</v>
      </c>
      <c r="E19" s="3"/>
      <c r="F19" s="3" t="s">
        <v>44</v>
      </c>
      <c r="G19" s="3" t="s">
        <v>46</v>
      </c>
      <c r="H19" s="3" t="s">
        <v>48</v>
      </c>
      <c r="I19" s="3" t="s">
        <v>51</v>
      </c>
      <c r="J19" s="3"/>
      <c r="K19" s="3" t="s">
        <v>53</v>
      </c>
      <c r="L19" s="3" t="str">
        <f>IF(A19="","",IF(OR(COUNTIF('Priority Rules'!$A$2:$A$24,A19)&gt;0,COUNTIF('Priority Rules'!$B$2:$B$8,B19)&gt;0),"P18",IF(COUNTIF('Priority Rules'!$C$2:$C$9,A19)&gt;0,"P19",IF(AND(OR(ISNUMBER(SEARCH("Varadero",C19)),ISNUMBER(SEARCH("Cayo Coco",C19)),ISNUMBER(SEARCH("Cayo Santa María",C19)),ISNUMBER(SEARCH("Cayo Santa Maria",C19)),ISNUMBER(SEARCH("Cayo Guillermo",C19)),ISNUMBER(SEARCH("Cayo Las Brujas",C19)),ISNUMBER(SEARCH("Cayo Ensenachos",C19)),ISNUMBER(SEARCH("Holguín",C19)),ISNUMBER(SEARCH("Holguin",C19)),ISNUMBER(SEARCH("Havana",C19)),ISNUMBER(SEARCH("Old Havana",C19)),ISNUMBER(SEARCH("Vedado",C19)),ISNUMBER(SEARCH("Miramar",C19))),NOT(ISNUMBER(SEARCH("historical",F19)))),"P19",IF(OR(ISNUMBER(SEARCH("historical",F19)),H19="Low",ISNUMBER(SEARCH("to verify",F19)),ISNUMBER(SEARCH("requires verification",F19))),"Backlog","P20")))))</f>
        <v>Backlog</v>
      </c>
      <c r="M19" s="3"/>
      <c r="N19" s="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254</v>
      </c>
      <c r="B20" s="3"/>
      <c r="C20" s="3" t="s">
        <v>255</v>
      </c>
      <c r="D20" s="3" t="s">
        <v>40</v>
      </c>
      <c r="E20" s="3"/>
      <c r="F20" s="3" t="s">
        <v>44</v>
      </c>
      <c r="G20" s="3" t="s">
        <v>46</v>
      </c>
      <c r="H20" s="3" t="s">
        <v>48</v>
      </c>
      <c r="I20" s="3" t="s">
        <v>51</v>
      </c>
      <c r="J20" s="3"/>
      <c r="K20" s="3" t="s">
        <v>53</v>
      </c>
      <c r="L20" s="3" t="str">
        <f>IF(A20="","",IF(OR(COUNTIF('Priority Rules'!$A$2:$A$24,A20)&gt;0,COUNTIF('Priority Rules'!$B$2:$B$8,B20)&gt;0),"P19",IF(COUNTIF('Priority Rules'!$C$2:$C$9,A20)&gt;0,"P20",IF(AND(OR(ISNUMBER(SEARCH("Varadero",C20)),ISNUMBER(SEARCH("Cayo Coco",C20)),ISNUMBER(SEARCH("Cayo Santa María",C20)),ISNUMBER(SEARCH("Cayo Santa Maria",C20)),ISNUMBER(SEARCH("Cayo Guillermo",C20)),ISNUMBER(SEARCH("Cayo Las Brujas",C20)),ISNUMBER(SEARCH("Cayo Ensenachos",C20)),ISNUMBER(SEARCH("Holguín",C20)),ISNUMBER(SEARCH("Holguin",C20)),ISNUMBER(SEARCH("Havana",C20)),ISNUMBER(SEARCH("Old Havana",C20)),ISNUMBER(SEARCH("Vedado",C20)),ISNUMBER(SEARCH("Miramar",C20))),NOT(ISNUMBER(SEARCH("historical",F20)))),"P20",IF(OR(ISNUMBER(SEARCH("historical",F20)),H20="Low",ISNUMBER(SEARCH("to verify",F20)),ISNUMBER(SEARCH("requires verification",F20))),"Backlog","P21")))))</f>
        <v>Backlog</v>
      </c>
      <c r="M20" s="3"/>
      <c r="N20" s="3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" t="s">
        <v>256</v>
      </c>
      <c r="B21" s="3"/>
      <c r="C21" s="3" t="s">
        <v>255</v>
      </c>
      <c r="D21" s="3" t="s">
        <v>40</v>
      </c>
      <c r="E21" s="3"/>
      <c r="F21" s="3" t="s">
        <v>44</v>
      </c>
      <c r="G21" s="3" t="s">
        <v>46</v>
      </c>
      <c r="H21" s="3" t="s">
        <v>48</v>
      </c>
      <c r="I21" s="3" t="s">
        <v>51</v>
      </c>
      <c r="J21" s="3"/>
      <c r="K21" s="3" t="s">
        <v>53</v>
      </c>
      <c r="L21" s="3" t="str">
        <f>IF(A21="","",IF(OR(COUNTIF('Priority Rules'!$A$2:$A$24,A21)&gt;0,COUNTIF('Priority Rules'!$B$2:$B$8,B21)&gt;0),"P20",IF(COUNTIF('Priority Rules'!$C$2:$C$9,A21)&gt;0,"P21",IF(AND(OR(ISNUMBER(SEARCH("Varadero",C21)),ISNUMBER(SEARCH("Cayo Coco",C21)),ISNUMBER(SEARCH("Cayo Santa María",C21)),ISNUMBER(SEARCH("Cayo Santa Maria",C21)),ISNUMBER(SEARCH("Cayo Guillermo",C21)),ISNUMBER(SEARCH("Cayo Las Brujas",C21)),ISNUMBER(SEARCH("Cayo Ensenachos",C21)),ISNUMBER(SEARCH("Holguín",C21)),ISNUMBER(SEARCH("Holguin",C21)),ISNUMBER(SEARCH("Havana",C21)),ISNUMBER(SEARCH("Old Havana",C21)),ISNUMBER(SEARCH("Vedado",C21)),ISNUMBER(SEARCH("Miramar",C21))),NOT(ISNUMBER(SEARCH("historical",F21)))),"P21",IF(OR(ISNUMBER(SEARCH("historical",F21)),H21="Low",ISNUMBER(SEARCH("to verify",F21)),ISNUMBER(SEARCH("requires verification",F21))),"Backlog","P22")))))</f>
        <v>Backlog</v>
      </c>
      <c r="M21" s="3"/>
      <c r="N21" s="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" t="s">
        <v>257</v>
      </c>
      <c r="B22" s="3"/>
      <c r="C22" s="3" t="s">
        <v>255</v>
      </c>
      <c r="D22" s="3" t="s">
        <v>40</v>
      </c>
      <c r="E22" s="3"/>
      <c r="F22" s="3" t="s">
        <v>44</v>
      </c>
      <c r="G22" s="3" t="s">
        <v>46</v>
      </c>
      <c r="H22" s="3" t="s">
        <v>48</v>
      </c>
      <c r="I22" s="3" t="s">
        <v>51</v>
      </c>
      <c r="J22" s="3"/>
      <c r="K22" s="3" t="s">
        <v>53</v>
      </c>
      <c r="L22" s="3" t="str">
        <f>IF(A22="","",IF(OR(COUNTIF('Priority Rules'!$A$2:$A$24,A22)&gt;0,COUNTIF('Priority Rules'!$B$2:$B$8,B22)&gt;0),"P21",IF(COUNTIF('Priority Rules'!$C$2:$C$9,A22)&gt;0,"P22",IF(AND(OR(ISNUMBER(SEARCH("Varadero",C22)),ISNUMBER(SEARCH("Cayo Coco",C22)),ISNUMBER(SEARCH("Cayo Santa María",C22)),ISNUMBER(SEARCH("Cayo Santa Maria",C22)),ISNUMBER(SEARCH("Cayo Guillermo",C22)),ISNUMBER(SEARCH("Cayo Las Brujas",C22)),ISNUMBER(SEARCH("Cayo Ensenachos",C22)),ISNUMBER(SEARCH("Holguín",C22)),ISNUMBER(SEARCH("Holguin",C22)),ISNUMBER(SEARCH("Havana",C22)),ISNUMBER(SEARCH("Old Havana",C22)),ISNUMBER(SEARCH("Vedado",C22)),ISNUMBER(SEARCH("Miramar",C22))),NOT(ISNUMBER(SEARCH("historical",F22)))),"P22",IF(OR(ISNUMBER(SEARCH("historical",F22)),H22="Low",ISNUMBER(SEARCH("to verify",F22)),ISNUMBER(SEARCH("requires verification",F22))),"Backlog","P23")))))</f>
        <v>Backlog</v>
      </c>
      <c r="M22" s="3"/>
      <c r="N22" s="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" t="s">
        <v>258</v>
      </c>
      <c r="B23" s="3"/>
      <c r="C23" s="3" t="s">
        <v>255</v>
      </c>
      <c r="D23" s="3" t="s">
        <v>40</v>
      </c>
      <c r="E23" s="3"/>
      <c r="F23" s="3" t="s">
        <v>44</v>
      </c>
      <c r="G23" s="3" t="s">
        <v>46</v>
      </c>
      <c r="H23" s="3" t="s">
        <v>48</v>
      </c>
      <c r="I23" s="3" t="s">
        <v>51</v>
      </c>
      <c r="J23" s="3"/>
      <c r="K23" s="3" t="s">
        <v>53</v>
      </c>
      <c r="L23" s="3" t="str">
        <f>IF(A23="","",IF(OR(COUNTIF('Priority Rules'!$A$2:$A$24,A23)&gt;0,COUNTIF('Priority Rules'!$B$2:$B$8,B23)&gt;0),"P22",IF(COUNTIF('Priority Rules'!$C$2:$C$9,A23)&gt;0,"P23",IF(AND(OR(ISNUMBER(SEARCH("Varadero",C23)),ISNUMBER(SEARCH("Cayo Coco",C23)),ISNUMBER(SEARCH("Cayo Santa María",C23)),ISNUMBER(SEARCH("Cayo Santa Maria",C23)),ISNUMBER(SEARCH("Cayo Guillermo",C23)),ISNUMBER(SEARCH("Cayo Las Brujas",C23)),ISNUMBER(SEARCH("Cayo Ensenachos",C23)),ISNUMBER(SEARCH("Holguín",C23)),ISNUMBER(SEARCH("Holguin",C23)),ISNUMBER(SEARCH("Havana",C23)),ISNUMBER(SEARCH("Old Havana",C23)),ISNUMBER(SEARCH("Vedado",C23)),ISNUMBER(SEARCH("Miramar",C23))),NOT(ISNUMBER(SEARCH("historical",F23)))),"P23",IF(OR(ISNUMBER(SEARCH("historical",F23)),H23="Low",ISNUMBER(SEARCH("to verify",F23)),ISNUMBER(SEARCH("requires verification",F23))),"Backlog","P24")))))</f>
        <v>Backlog</v>
      </c>
      <c r="M23" s="3"/>
      <c r="N23" s="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" t="s">
        <v>259</v>
      </c>
      <c r="B24" s="3"/>
      <c r="C24" s="3" t="s">
        <v>260</v>
      </c>
      <c r="D24" s="3" t="s">
        <v>40</v>
      </c>
      <c r="E24" s="3"/>
      <c r="F24" s="3" t="s">
        <v>44</v>
      </c>
      <c r="G24" s="3" t="s">
        <v>46</v>
      </c>
      <c r="H24" s="3" t="s">
        <v>48</v>
      </c>
      <c r="I24" s="3" t="s">
        <v>51</v>
      </c>
      <c r="J24" s="3"/>
      <c r="K24" s="3" t="s">
        <v>53</v>
      </c>
      <c r="L24" s="3" t="str">
        <f>IF(A24="","",IF(OR(COUNTIF('Priority Rules'!$A$2:$A$24,A24)&gt;0,COUNTIF('Priority Rules'!$B$2:$B$8,B24)&gt;0),"P23",IF(COUNTIF('Priority Rules'!$C$2:$C$9,A24)&gt;0,"P24",IF(AND(OR(ISNUMBER(SEARCH("Varadero",C24)),ISNUMBER(SEARCH("Cayo Coco",C24)),ISNUMBER(SEARCH("Cayo Santa María",C24)),ISNUMBER(SEARCH("Cayo Santa Maria",C24)),ISNUMBER(SEARCH("Cayo Guillermo",C24)),ISNUMBER(SEARCH("Cayo Las Brujas",C24)),ISNUMBER(SEARCH("Cayo Ensenachos",C24)),ISNUMBER(SEARCH("Holguín",C24)),ISNUMBER(SEARCH("Holguin",C24)),ISNUMBER(SEARCH("Havana",C24)),ISNUMBER(SEARCH("Old Havana",C24)),ISNUMBER(SEARCH("Vedado",C24)),ISNUMBER(SEARCH("Miramar",C24))),NOT(ISNUMBER(SEARCH("historical",F24)))),"P24",IF(OR(ISNUMBER(SEARCH("historical",F24)),H24="Low",ISNUMBER(SEARCH("to verify",F24)),ISNUMBER(SEARCH("requires verification",F24))),"Backlog","P25")))))</f>
        <v>Backlog</v>
      </c>
      <c r="M24" s="3"/>
      <c r="N24" s="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" t="s">
        <v>261</v>
      </c>
      <c r="B25" s="3"/>
      <c r="C25" s="3" t="s">
        <v>262</v>
      </c>
      <c r="D25" s="3" t="s">
        <v>40</v>
      </c>
      <c r="E25" s="3"/>
      <c r="F25" s="3" t="s">
        <v>44</v>
      </c>
      <c r="G25" s="3" t="s">
        <v>46</v>
      </c>
      <c r="H25" s="3" t="s">
        <v>48</v>
      </c>
      <c r="I25" s="3" t="s">
        <v>51</v>
      </c>
      <c r="J25" s="3"/>
      <c r="K25" s="3" t="s">
        <v>53</v>
      </c>
      <c r="L25" s="3" t="str">
        <f>IF(A25="","",IF(OR(COUNTIF('Priority Rules'!$A$2:$A$24,A25)&gt;0,COUNTIF('Priority Rules'!$B$2:$B$8,B25)&gt;0),"P24",IF(COUNTIF('Priority Rules'!$C$2:$C$9,A25)&gt;0,"P25",IF(AND(OR(ISNUMBER(SEARCH("Varadero",C25)),ISNUMBER(SEARCH("Cayo Coco",C25)),ISNUMBER(SEARCH("Cayo Santa María",C25)),ISNUMBER(SEARCH("Cayo Santa Maria",C25)),ISNUMBER(SEARCH("Cayo Guillermo",C25)),ISNUMBER(SEARCH("Cayo Las Brujas",C25)),ISNUMBER(SEARCH("Cayo Ensenachos",C25)),ISNUMBER(SEARCH("Holguín",C25)),ISNUMBER(SEARCH("Holguin",C25)),ISNUMBER(SEARCH("Havana",C25)),ISNUMBER(SEARCH("Old Havana",C25)),ISNUMBER(SEARCH("Vedado",C25)),ISNUMBER(SEARCH("Miramar",C25))),NOT(ISNUMBER(SEARCH("historical",F25)))),"P25",IF(OR(ISNUMBER(SEARCH("historical",F25)),H25="Low",ISNUMBER(SEARCH("to verify",F25)),ISNUMBER(SEARCH("requires verification",F25))),"Backlog","P26")))))</f>
        <v>Backlog</v>
      </c>
      <c r="M25" s="3"/>
      <c r="N25" s="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" t="s">
        <v>263</v>
      </c>
      <c r="B26" s="3"/>
      <c r="C26" s="3" t="s">
        <v>262</v>
      </c>
      <c r="D26" s="3" t="s">
        <v>40</v>
      </c>
      <c r="E26" s="3"/>
      <c r="F26" s="3" t="s">
        <v>44</v>
      </c>
      <c r="G26" s="3" t="s">
        <v>46</v>
      </c>
      <c r="H26" s="3" t="s">
        <v>48</v>
      </c>
      <c r="I26" s="3" t="s">
        <v>51</v>
      </c>
      <c r="J26" s="3"/>
      <c r="K26" s="3" t="s">
        <v>53</v>
      </c>
      <c r="L26" s="3" t="str">
        <f>IF(A26="","",IF(OR(COUNTIF('Priority Rules'!$A$2:$A$24,A26)&gt;0,COUNTIF('Priority Rules'!$B$2:$B$8,B26)&gt;0),"P25",IF(COUNTIF('Priority Rules'!$C$2:$C$9,A26)&gt;0,"P26",IF(AND(OR(ISNUMBER(SEARCH("Varadero",C26)),ISNUMBER(SEARCH("Cayo Coco",C26)),ISNUMBER(SEARCH("Cayo Santa María",C26)),ISNUMBER(SEARCH("Cayo Santa Maria",C26)),ISNUMBER(SEARCH("Cayo Guillermo",C26)),ISNUMBER(SEARCH("Cayo Las Brujas",C26)),ISNUMBER(SEARCH("Cayo Ensenachos",C26)),ISNUMBER(SEARCH("Holguín",C26)),ISNUMBER(SEARCH("Holguin",C26)),ISNUMBER(SEARCH("Havana",C26)),ISNUMBER(SEARCH("Old Havana",C26)),ISNUMBER(SEARCH("Vedado",C26)),ISNUMBER(SEARCH("Miramar",C26))),NOT(ISNUMBER(SEARCH("historical",F26)))),"P26",IF(OR(ISNUMBER(SEARCH("historical",F26)),H26="Low",ISNUMBER(SEARCH("to verify",F26)),ISNUMBER(SEARCH("requires verification",F26))),"Backlog","P27")))))</f>
        <v>Backlog</v>
      </c>
      <c r="M26" s="3"/>
      <c r="N26" s="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" t="s">
        <v>74</v>
      </c>
      <c r="B27" s="3"/>
      <c r="C27" s="3" t="s">
        <v>150</v>
      </c>
      <c r="D27" s="3" t="s">
        <v>40</v>
      </c>
      <c r="E27" s="3"/>
      <c r="F27" s="3" t="s">
        <v>44</v>
      </c>
      <c r="G27" s="3" t="s">
        <v>46</v>
      </c>
      <c r="H27" s="3" t="s">
        <v>48</v>
      </c>
      <c r="I27" s="3" t="s">
        <v>51</v>
      </c>
      <c r="J27" s="3"/>
      <c r="K27" s="3" t="s">
        <v>53</v>
      </c>
      <c r="L27" s="3" t="str">
        <f>IF(A27="","",IF(OR(COUNTIF('Priority Rules'!$A$2:$A$24,A27)&gt;0,COUNTIF('Priority Rules'!$B$2:$B$8,B27)&gt;0),"P26",IF(COUNTIF('Priority Rules'!$C$2:$C$9,A27)&gt;0,"P27",IF(AND(OR(ISNUMBER(SEARCH("Varadero",C27)),ISNUMBER(SEARCH("Cayo Coco",C27)),ISNUMBER(SEARCH("Cayo Santa María",C27)),ISNUMBER(SEARCH("Cayo Santa Maria",C27)),ISNUMBER(SEARCH("Cayo Guillermo",C27)),ISNUMBER(SEARCH("Cayo Las Brujas",C27)),ISNUMBER(SEARCH("Cayo Ensenachos",C27)),ISNUMBER(SEARCH("Holguín",C27)),ISNUMBER(SEARCH("Holguin",C27)),ISNUMBER(SEARCH("Havana",C27)),ISNUMBER(SEARCH("Old Havana",C27)),ISNUMBER(SEARCH("Vedado",C27)),ISNUMBER(SEARCH("Miramar",C27))),NOT(ISNUMBER(SEARCH("historical",F27)))),"P27",IF(OR(ISNUMBER(SEARCH("historical",F27)),H27="Low",ISNUMBER(SEARCH("to verify",F27)),ISNUMBER(SEARCH("requires verification",F27))),"Backlog","P28")))))</f>
        <v>P27</v>
      </c>
      <c r="M27" s="3"/>
      <c r="N27" s="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" t="s">
        <v>264</v>
      </c>
      <c r="B28" s="3"/>
      <c r="C28" s="3" t="s">
        <v>150</v>
      </c>
      <c r="D28" s="3" t="s">
        <v>40</v>
      </c>
      <c r="E28" s="3"/>
      <c r="F28" s="3" t="s">
        <v>44</v>
      </c>
      <c r="G28" s="3" t="s">
        <v>46</v>
      </c>
      <c r="H28" s="3" t="s">
        <v>48</v>
      </c>
      <c r="I28" s="3" t="s">
        <v>51</v>
      </c>
      <c r="J28" s="3"/>
      <c r="K28" s="3" t="s">
        <v>53</v>
      </c>
      <c r="L28" s="3" t="str">
        <f>IF(A28="","",IF(OR(COUNTIF('Priority Rules'!$A$2:$A$24,A28)&gt;0,COUNTIF('Priority Rules'!$B$2:$B$8,B28)&gt;0),"P27",IF(COUNTIF('Priority Rules'!$C$2:$C$9,A28)&gt;0,"P28",IF(AND(OR(ISNUMBER(SEARCH("Varadero",C28)),ISNUMBER(SEARCH("Cayo Coco",C28)),ISNUMBER(SEARCH("Cayo Santa María",C28)),ISNUMBER(SEARCH("Cayo Santa Maria",C28)),ISNUMBER(SEARCH("Cayo Guillermo",C28)),ISNUMBER(SEARCH("Cayo Las Brujas",C28)),ISNUMBER(SEARCH("Cayo Ensenachos",C28)),ISNUMBER(SEARCH("Holguín",C28)),ISNUMBER(SEARCH("Holguin",C28)),ISNUMBER(SEARCH("Havana",C28)),ISNUMBER(SEARCH("Old Havana",C28)),ISNUMBER(SEARCH("Vedado",C28)),ISNUMBER(SEARCH("Miramar",C28))),NOT(ISNUMBER(SEARCH("historical",F28)))),"P28",IF(OR(ISNUMBER(SEARCH("historical",F28)),H28="Low",ISNUMBER(SEARCH("to verify",F28)),ISNUMBER(SEARCH("requires verification",F28))),"Backlog","P29")))))</f>
        <v>Backlog</v>
      </c>
      <c r="M28" s="3"/>
      <c r="N28" s="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" t="s">
        <v>265</v>
      </c>
      <c r="B29" s="3"/>
      <c r="C29" s="3" t="s">
        <v>150</v>
      </c>
      <c r="D29" s="3" t="s">
        <v>40</v>
      </c>
      <c r="E29" s="3"/>
      <c r="F29" s="3" t="s">
        <v>44</v>
      </c>
      <c r="G29" s="3" t="s">
        <v>46</v>
      </c>
      <c r="H29" s="3" t="s">
        <v>48</v>
      </c>
      <c r="I29" s="3" t="s">
        <v>51</v>
      </c>
      <c r="J29" s="3"/>
      <c r="K29" s="3" t="s">
        <v>53</v>
      </c>
      <c r="L29" s="3" t="str">
        <f>IF(A29="","",IF(OR(COUNTIF('Priority Rules'!$A$2:$A$24,A29)&gt;0,COUNTIF('Priority Rules'!$B$2:$B$8,B29)&gt;0),"P28",IF(COUNTIF('Priority Rules'!$C$2:$C$9,A29)&gt;0,"P29",IF(AND(OR(ISNUMBER(SEARCH("Varadero",C29)),ISNUMBER(SEARCH("Cayo Coco",C29)),ISNUMBER(SEARCH("Cayo Santa María",C29)),ISNUMBER(SEARCH("Cayo Santa Maria",C29)),ISNUMBER(SEARCH("Cayo Guillermo",C29)),ISNUMBER(SEARCH("Cayo Las Brujas",C29)),ISNUMBER(SEARCH("Cayo Ensenachos",C29)),ISNUMBER(SEARCH("Holguín",C29)),ISNUMBER(SEARCH("Holguin",C29)),ISNUMBER(SEARCH("Havana",C29)),ISNUMBER(SEARCH("Old Havana",C29)),ISNUMBER(SEARCH("Vedado",C29)),ISNUMBER(SEARCH("Miramar",C29))),NOT(ISNUMBER(SEARCH("historical",F29)))),"P29",IF(OR(ISNUMBER(SEARCH("historical",F29)),H29="Low",ISNUMBER(SEARCH("to verify",F29)),ISNUMBER(SEARCH("requires verification",F29))),"Backlog","P30")))))</f>
        <v>Backlog</v>
      </c>
      <c r="M29" s="3"/>
      <c r="N29" s="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" t="s">
        <v>266</v>
      </c>
      <c r="B30" s="3"/>
      <c r="C30" s="3" t="s">
        <v>267</v>
      </c>
      <c r="D30" s="3" t="s">
        <v>40</v>
      </c>
      <c r="E30" s="3"/>
      <c r="F30" s="3" t="s">
        <v>44</v>
      </c>
      <c r="G30" s="3" t="s">
        <v>46</v>
      </c>
      <c r="H30" s="3" t="s">
        <v>48</v>
      </c>
      <c r="I30" s="3" t="s">
        <v>51</v>
      </c>
      <c r="J30" s="3"/>
      <c r="K30" s="3" t="s">
        <v>53</v>
      </c>
      <c r="L30" s="3" t="str">
        <f>IF(A30="","",IF(OR(COUNTIF('Priority Rules'!$A$2:$A$24,A30)&gt;0,COUNTIF('Priority Rules'!$B$2:$B$8,B30)&gt;0),"P29",IF(COUNTIF('Priority Rules'!$C$2:$C$9,A30)&gt;0,"P30",IF(AND(OR(ISNUMBER(SEARCH("Varadero",C30)),ISNUMBER(SEARCH("Cayo Coco",C30)),ISNUMBER(SEARCH("Cayo Santa María",C30)),ISNUMBER(SEARCH("Cayo Santa Maria",C30)),ISNUMBER(SEARCH("Cayo Guillermo",C30)),ISNUMBER(SEARCH("Cayo Las Brujas",C30)),ISNUMBER(SEARCH("Cayo Ensenachos",C30)),ISNUMBER(SEARCH("Holguín",C30)),ISNUMBER(SEARCH("Holguin",C30)),ISNUMBER(SEARCH("Havana",C30)),ISNUMBER(SEARCH("Old Havana",C30)),ISNUMBER(SEARCH("Vedado",C30)),ISNUMBER(SEARCH("Miramar",C30))),NOT(ISNUMBER(SEARCH("historical",F30)))),"P30",IF(OR(ISNUMBER(SEARCH("historical",F30)),H30="Low",ISNUMBER(SEARCH("to verify",F30)),ISNUMBER(SEARCH("requires verification",F30))),"Backlog","P31")))))</f>
        <v>Backlog</v>
      </c>
      <c r="M30" s="3"/>
      <c r="N30" s="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" t="s">
        <v>268</v>
      </c>
      <c r="B31" s="3"/>
      <c r="C31" s="3" t="s">
        <v>37</v>
      </c>
      <c r="D31" s="3" t="s">
        <v>40</v>
      </c>
      <c r="E31" s="3"/>
      <c r="F31" s="3" t="s">
        <v>44</v>
      </c>
      <c r="G31" s="3" t="s">
        <v>46</v>
      </c>
      <c r="H31" s="3" t="s">
        <v>48</v>
      </c>
      <c r="I31" s="3" t="s">
        <v>51</v>
      </c>
      <c r="J31" s="3"/>
      <c r="K31" s="3" t="s">
        <v>53</v>
      </c>
      <c r="L31" s="3" t="str">
        <f>IF(A31="","",IF(OR(COUNTIF('Priority Rules'!$A$2:$A$24,A31)&gt;0,COUNTIF('Priority Rules'!$B$2:$B$8,B31)&gt;0),"P30",IF(COUNTIF('Priority Rules'!$C$2:$C$9,A31)&gt;0,"P31",IF(AND(OR(ISNUMBER(SEARCH("Varadero",C31)),ISNUMBER(SEARCH("Cayo Coco",C31)),ISNUMBER(SEARCH("Cayo Santa María",C31)),ISNUMBER(SEARCH("Cayo Santa Maria",C31)),ISNUMBER(SEARCH("Cayo Guillermo",C31)),ISNUMBER(SEARCH("Cayo Las Brujas",C31)),ISNUMBER(SEARCH("Cayo Ensenachos",C31)),ISNUMBER(SEARCH("Holguín",C31)),ISNUMBER(SEARCH("Holguin",C31)),ISNUMBER(SEARCH("Havana",C31)),ISNUMBER(SEARCH("Old Havana",C31)),ISNUMBER(SEARCH("Vedado",C31)),ISNUMBER(SEARCH("Miramar",C31))),NOT(ISNUMBER(SEARCH("historical",F31)))),"P31",IF(OR(ISNUMBER(SEARCH("historical",F31)),H31="Low",ISNUMBER(SEARCH("to verify",F31)),ISNUMBER(SEARCH("requires verification",F31))),"Backlog","P32")))))</f>
        <v>Backlog</v>
      </c>
      <c r="M31" s="3"/>
      <c r="N31" s="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" t="s">
        <v>269</v>
      </c>
      <c r="B32" s="3"/>
      <c r="C32" s="3" t="s">
        <v>150</v>
      </c>
      <c r="D32" s="3" t="s">
        <v>40</v>
      </c>
      <c r="E32" s="3"/>
      <c r="F32" s="3" t="s">
        <v>44</v>
      </c>
      <c r="G32" s="3" t="s">
        <v>46</v>
      </c>
      <c r="H32" s="3" t="s">
        <v>48</v>
      </c>
      <c r="I32" s="3" t="s">
        <v>51</v>
      </c>
      <c r="J32" s="3"/>
      <c r="K32" s="3" t="s">
        <v>53</v>
      </c>
      <c r="L32" s="3" t="str">
        <f>IF(A32="","",IF(OR(COUNTIF('Priority Rules'!$A$2:$A$24,A32)&gt;0,COUNTIF('Priority Rules'!$B$2:$B$8,B32)&gt;0),"P31",IF(COUNTIF('Priority Rules'!$C$2:$C$9,A32)&gt;0,"P32",IF(AND(OR(ISNUMBER(SEARCH("Varadero",C32)),ISNUMBER(SEARCH("Cayo Coco",C32)),ISNUMBER(SEARCH("Cayo Santa María",C32)),ISNUMBER(SEARCH("Cayo Santa Maria",C32)),ISNUMBER(SEARCH("Cayo Guillermo",C32)),ISNUMBER(SEARCH("Cayo Las Brujas",C32)),ISNUMBER(SEARCH("Cayo Ensenachos",C32)),ISNUMBER(SEARCH("Holguín",C32)),ISNUMBER(SEARCH("Holguin",C32)),ISNUMBER(SEARCH("Havana",C32)),ISNUMBER(SEARCH("Old Havana",C32)),ISNUMBER(SEARCH("Vedado",C32)),ISNUMBER(SEARCH("Miramar",C32))),NOT(ISNUMBER(SEARCH("historical",F32)))),"P32",IF(OR(ISNUMBER(SEARCH("historical",F32)),H32="Low",ISNUMBER(SEARCH("to verify",F32)),ISNUMBER(SEARCH("requires verification",F32))),"Backlog","P33")))))</f>
        <v>Backlog</v>
      </c>
      <c r="M32" s="3"/>
      <c r="N32" s="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" t="s">
        <v>270</v>
      </c>
      <c r="B33" s="3"/>
      <c r="C33" s="3" t="s">
        <v>271</v>
      </c>
      <c r="D33" s="3" t="s">
        <v>40</v>
      </c>
      <c r="E33" s="3"/>
      <c r="F33" s="3" t="s">
        <v>44</v>
      </c>
      <c r="G33" s="3" t="s">
        <v>46</v>
      </c>
      <c r="H33" s="3" t="s">
        <v>48</v>
      </c>
      <c r="I33" s="3" t="s">
        <v>51</v>
      </c>
      <c r="J33" s="3"/>
      <c r="K33" s="3" t="s">
        <v>53</v>
      </c>
      <c r="L33" s="3" t="str">
        <f>IF(A33="","",IF(OR(COUNTIF('Priority Rules'!$A$2:$A$24,A33)&gt;0,COUNTIF('Priority Rules'!$B$2:$B$8,B33)&gt;0),"P32",IF(COUNTIF('Priority Rules'!$C$2:$C$9,A33)&gt;0,"P33",IF(AND(OR(ISNUMBER(SEARCH("Varadero",C33)),ISNUMBER(SEARCH("Cayo Coco",C33)),ISNUMBER(SEARCH("Cayo Santa María",C33)),ISNUMBER(SEARCH("Cayo Santa Maria",C33)),ISNUMBER(SEARCH("Cayo Guillermo",C33)),ISNUMBER(SEARCH("Cayo Las Brujas",C33)),ISNUMBER(SEARCH("Cayo Ensenachos",C33)),ISNUMBER(SEARCH("Holguín",C33)),ISNUMBER(SEARCH("Holguin",C33)),ISNUMBER(SEARCH("Havana",C33)),ISNUMBER(SEARCH("Old Havana",C33)),ISNUMBER(SEARCH("Vedado",C33)),ISNUMBER(SEARCH("Miramar",C33))),NOT(ISNUMBER(SEARCH("historical",F33)))),"P33",IF(OR(ISNUMBER(SEARCH("historical",F33)),H33="Low",ISNUMBER(SEARCH("to verify",F33)),ISNUMBER(SEARCH("requires verification",F33))),"Backlog","P34")))))</f>
        <v>Backlog</v>
      </c>
      <c r="M33" s="3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" t="s">
        <v>272</v>
      </c>
      <c r="B34" s="3"/>
      <c r="C34" s="3" t="s">
        <v>271</v>
      </c>
      <c r="D34" s="3" t="s">
        <v>40</v>
      </c>
      <c r="E34" s="3"/>
      <c r="F34" s="3" t="s">
        <v>44</v>
      </c>
      <c r="G34" s="3" t="s">
        <v>46</v>
      </c>
      <c r="H34" s="3" t="s">
        <v>48</v>
      </c>
      <c r="I34" s="3" t="s">
        <v>51</v>
      </c>
      <c r="J34" s="3"/>
      <c r="K34" s="3" t="s">
        <v>53</v>
      </c>
      <c r="L34" s="3" t="str">
        <f>IF(A34="","",IF(OR(COUNTIF('Priority Rules'!$A$2:$A$24,A34)&gt;0,COUNTIF('Priority Rules'!$B$2:$B$8,B34)&gt;0),"P33",IF(COUNTIF('Priority Rules'!$C$2:$C$9,A34)&gt;0,"P34",IF(AND(OR(ISNUMBER(SEARCH("Varadero",C34)),ISNUMBER(SEARCH("Cayo Coco",C34)),ISNUMBER(SEARCH("Cayo Santa María",C34)),ISNUMBER(SEARCH("Cayo Santa Maria",C34)),ISNUMBER(SEARCH("Cayo Guillermo",C34)),ISNUMBER(SEARCH("Cayo Las Brujas",C34)),ISNUMBER(SEARCH("Cayo Ensenachos",C34)),ISNUMBER(SEARCH("Holguín",C34)),ISNUMBER(SEARCH("Holguin",C34)),ISNUMBER(SEARCH("Havana",C34)),ISNUMBER(SEARCH("Old Havana",C34)),ISNUMBER(SEARCH("Vedado",C34)),ISNUMBER(SEARCH("Miramar",C34))),NOT(ISNUMBER(SEARCH("historical",F34)))),"P34",IF(OR(ISNUMBER(SEARCH("historical",F34)),H34="Low",ISNUMBER(SEARCH("to verify",F34)),ISNUMBER(SEARCH("requires verification",F34))),"Backlog","P35")))))</f>
        <v>Backlog</v>
      </c>
      <c r="M34" s="3"/>
      <c r="N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" t="s">
        <v>273</v>
      </c>
      <c r="B35" s="3"/>
      <c r="C35" s="3" t="s">
        <v>37</v>
      </c>
      <c r="D35" s="3" t="s">
        <v>40</v>
      </c>
      <c r="E35" s="3"/>
      <c r="F35" s="3" t="s">
        <v>44</v>
      </c>
      <c r="G35" s="3" t="s">
        <v>46</v>
      </c>
      <c r="H35" s="3" t="s">
        <v>48</v>
      </c>
      <c r="I35" s="3" t="s">
        <v>51</v>
      </c>
      <c r="J35" s="3"/>
      <c r="K35" s="3" t="s">
        <v>53</v>
      </c>
      <c r="L35" s="3" t="str">
        <f>IF(A35="","",IF(OR(COUNTIF('Priority Rules'!$A$2:$A$24,A35)&gt;0,COUNTIF('Priority Rules'!$B$2:$B$8,B35)&gt;0),"P34",IF(COUNTIF('Priority Rules'!$C$2:$C$9,A35)&gt;0,"P35",IF(AND(OR(ISNUMBER(SEARCH("Varadero",C35)),ISNUMBER(SEARCH("Cayo Coco",C35)),ISNUMBER(SEARCH("Cayo Santa María",C35)),ISNUMBER(SEARCH("Cayo Santa Maria",C35)),ISNUMBER(SEARCH("Cayo Guillermo",C35)),ISNUMBER(SEARCH("Cayo Las Brujas",C35)),ISNUMBER(SEARCH("Cayo Ensenachos",C35)),ISNUMBER(SEARCH("Holguín",C35)),ISNUMBER(SEARCH("Holguin",C35)),ISNUMBER(SEARCH("Havana",C35)),ISNUMBER(SEARCH("Old Havana",C35)),ISNUMBER(SEARCH("Vedado",C35)),ISNUMBER(SEARCH("Miramar",C35))),NOT(ISNUMBER(SEARCH("historical",F35)))),"P35",IF(OR(ISNUMBER(SEARCH("historical",F35)),H35="Low",ISNUMBER(SEARCH("to verify",F35)),ISNUMBER(SEARCH("requires verification",F35))),"Backlog","P36")))))</f>
        <v>Backlog</v>
      </c>
      <c r="M35" s="3"/>
      <c r="N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" t="s">
        <v>283</v>
      </c>
      <c r="B36" s="3"/>
      <c r="C36" s="3" t="s">
        <v>252</v>
      </c>
      <c r="D36" s="3" t="s">
        <v>40</v>
      </c>
      <c r="E36" s="3"/>
      <c r="F36" s="3" t="s">
        <v>44</v>
      </c>
      <c r="G36" s="3" t="s">
        <v>46</v>
      </c>
      <c r="H36" s="3" t="s">
        <v>48</v>
      </c>
      <c r="I36" s="3" t="s">
        <v>51</v>
      </c>
      <c r="J36" s="3"/>
      <c r="K36" s="3" t="s">
        <v>53</v>
      </c>
      <c r="L36" s="3" t="str">
        <f>IF(A36="","",IF(OR(COUNTIF('Priority Rules'!$A$2:$A$24,A36)&gt;0,COUNTIF('Priority Rules'!$B$2:$B$8,B36)&gt;0),"P35",IF(COUNTIF('Priority Rules'!$C$2:$C$9,A36)&gt;0,"P36",IF(AND(OR(ISNUMBER(SEARCH("Varadero",C36)),ISNUMBER(SEARCH("Cayo Coco",C36)),ISNUMBER(SEARCH("Cayo Santa María",C36)),ISNUMBER(SEARCH("Cayo Santa Maria",C36)),ISNUMBER(SEARCH("Cayo Guillermo",C36)),ISNUMBER(SEARCH("Cayo Las Brujas",C36)),ISNUMBER(SEARCH("Cayo Ensenachos",C36)),ISNUMBER(SEARCH("Holguín",C36)),ISNUMBER(SEARCH("Holguin",C36)),ISNUMBER(SEARCH("Havana",C36)),ISNUMBER(SEARCH("Old Havana",C36)),ISNUMBER(SEARCH("Vedado",C36)),ISNUMBER(SEARCH("Miramar",C36))),NOT(ISNUMBER(SEARCH("historical",F36)))),"P36",IF(OR(ISNUMBER(SEARCH("historical",F36)),H36="Low",ISNUMBER(SEARCH("to verify",F36)),ISNUMBER(SEARCH("requires verification",F36))),"Backlog","P37")))))</f>
        <v>Backlog</v>
      </c>
      <c r="M36" s="3"/>
      <c r="N36" s="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" t="s">
        <v>302</v>
      </c>
      <c r="B37" s="3"/>
      <c r="C37" s="3" t="s">
        <v>260</v>
      </c>
      <c r="D37" s="3" t="s">
        <v>40</v>
      </c>
      <c r="E37" s="3"/>
      <c r="F37" s="3" t="s">
        <v>44</v>
      </c>
      <c r="G37" s="3" t="s">
        <v>46</v>
      </c>
      <c r="H37" s="3" t="s">
        <v>48</v>
      </c>
      <c r="I37" s="3" t="s">
        <v>51</v>
      </c>
      <c r="J37" s="3"/>
      <c r="K37" s="3" t="s">
        <v>53</v>
      </c>
      <c r="L37" s="3" t="str">
        <f>IF(A37="","",IF(OR(COUNTIF('Priority Rules'!$A$2:$A$24,A37)&gt;0,COUNTIF('Priority Rules'!$B$2:$B$8,B37)&gt;0),"P36",IF(COUNTIF('Priority Rules'!$C$2:$C$9,A37)&gt;0,"P37",IF(AND(OR(ISNUMBER(SEARCH("Varadero",C37)),ISNUMBER(SEARCH("Cayo Coco",C37)),ISNUMBER(SEARCH("Cayo Santa María",C37)),ISNUMBER(SEARCH("Cayo Santa Maria",C37)),ISNUMBER(SEARCH("Cayo Guillermo",C37)),ISNUMBER(SEARCH("Cayo Las Brujas",C37)),ISNUMBER(SEARCH("Cayo Ensenachos",C37)),ISNUMBER(SEARCH("Holguín",C37)),ISNUMBER(SEARCH("Holguin",C37)),ISNUMBER(SEARCH("Havana",C37)),ISNUMBER(SEARCH("Old Havana",C37)),ISNUMBER(SEARCH("Vedado",C37)),ISNUMBER(SEARCH("Miramar",C37))),NOT(ISNUMBER(SEARCH("historical",F37)))),"P37",IF(OR(ISNUMBER(SEARCH("historical",F37)),H37="Low",ISNUMBER(SEARCH("to verify",F37)),ISNUMBER(SEARCH("requires verification",F37))),"Backlog","P38")))))</f>
        <v>Backlog</v>
      </c>
      <c r="M37" s="3"/>
      <c r="N37" s="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" t="s">
        <v>314</v>
      </c>
      <c r="B38" s="3"/>
      <c r="C38" s="3" t="s">
        <v>315</v>
      </c>
      <c r="D38" s="3" t="s">
        <v>40</v>
      </c>
      <c r="E38" s="3"/>
      <c r="F38" s="3" t="s">
        <v>44</v>
      </c>
      <c r="G38" s="3" t="s">
        <v>46</v>
      </c>
      <c r="H38" s="3" t="s">
        <v>48</v>
      </c>
      <c r="I38" s="3" t="s">
        <v>51</v>
      </c>
      <c r="J38" s="3"/>
      <c r="K38" s="3" t="s">
        <v>53</v>
      </c>
      <c r="L38" s="3" t="str">
        <f>IF(A38="","",IF(OR(COUNTIF('Priority Rules'!$A$2:$A$24,A38)&gt;0,COUNTIF('Priority Rules'!$B$2:$B$8,B38)&gt;0),"P37",IF(COUNTIF('Priority Rules'!$C$2:$C$9,A38)&gt;0,"P38",IF(AND(OR(ISNUMBER(SEARCH("Varadero",C38)),ISNUMBER(SEARCH("Cayo Coco",C38)),ISNUMBER(SEARCH("Cayo Santa María",C38)),ISNUMBER(SEARCH("Cayo Santa Maria",C38)),ISNUMBER(SEARCH("Cayo Guillermo",C38)),ISNUMBER(SEARCH("Cayo Las Brujas",C38)),ISNUMBER(SEARCH("Cayo Ensenachos",C38)),ISNUMBER(SEARCH("Holguín",C38)),ISNUMBER(SEARCH("Holguin",C38)),ISNUMBER(SEARCH("Havana",C38)),ISNUMBER(SEARCH("Old Havana",C38)),ISNUMBER(SEARCH("Vedado",C38)),ISNUMBER(SEARCH("Miramar",C38))),NOT(ISNUMBER(SEARCH("historical",F38)))),"P38",IF(OR(ISNUMBER(SEARCH("historical",F38)),H38="Low",ISNUMBER(SEARCH("to verify",F38)),ISNUMBER(SEARCH("requires verification",F38))),"Backlog","P39")))))</f>
        <v>Backlog</v>
      </c>
      <c r="M38" s="3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" t="s">
        <v>331</v>
      </c>
      <c r="B39" s="3"/>
      <c r="C39" s="3" t="s">
        <v>150</v>
      </c>
      <c r="D39" s="3" t="s">
        <v>40</v>
      </c>
      <c r="E39" s="3"/>
      <c r="F39" s="3" t="s">
        <v>44</v>
      </c>
      <c r="G39" s="3" t="s">
        <v>46</v>
      </c>
      <c r="H39" s="3" t="s">
        <v>48</v>
      </c>
      <c r="I39" s="3" t="s">
        <v>51</v>
      </c>
      <c r="J39" s="3"/>
      <c r="K39" s="3" t="s">
        <v>53</v>
      </c>
      <c r="L39" s="3" t="str">
        <f>IF(A39="","",IF(OR(COUNTIF('Priority Rules'!$A$2:$A$24,A39)&gt;0,COUNTIF('Priority Rules'!$B$2:$B$8,B39)&gt;0),"P38",IF(COUNTIF('Priority Rules'!$C$2:$C$9,A39)&gt;0,"P39",IF(AND(OR(ISNUMBER(SEARCH("Varadero",C39)),ISNUMBER(SEARCH("Cayo Coco",C39)),ISNUMBER(SEARCH("Cayo Santa María",C39)),ISNUMBER(SEARCH("Cayo Santa Maria",C39)),ISNUMBER(SEARCH("Cayo Guillermo",C39)),ISNUMBER(SEARCH("Cayo Las Brujas",C39)),ISNUMBER(SEARCH("Cayo Ensenachos",C39)),ISNUMBER(SEARCH("Holguín",C39)),ISNUMBER(SEARCH("Holguin",C39)),ISNUMBER(SEARCH("Havana",C39)),ISNUMBER(SEARCH("Old Havana",C39)),ISNUMBER(SEARCH("Vedado",C39)),ISNUMBER(SEARCH("Miramar",C39))),NOT(ISNUMBER(SEARCH("historical",F39)))),"P39",IF(OR(ISNUMBER(SEARCH("historical",F39)),H39="Low",ISNUMBER(SEARCH("to verify",F39)),ISNUMBER(SEARCH("requires verification",F39))),"Backlog","P40")))))</f>
        <v>Backlog</v>
      </c>
      <c r="M39" s="3"/>
      <c r="N39" s="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" t="s">
        <v>345</v>
      </c>
      <c r="B40" s="3"/>
      <c r="C40" s="3" t="s">
        <v>150</v>
      </c>
      <c r="D40" s="3" t="s">
        <v>40</v>
      </c>
      <c r="E40" s="3"/>
      <c r="F40" s="3" t="s">
        <v>44</v>
      </c>
      <c r="G40" s="3" t="s">
        <v>46</v>
      </c>
      <c r="H40" s="3" t="s">
        <v>48</v>
      </c>
      <c r="I40" s="3" t="s">
        <v>51</v>
      </c>
      <c r="J40" s="3"/>
      <c r="K40" s="3" t="s">
        <v>53</v>
      </c>
      <c r="L40" s="3" t="str">
        <f>IF(A40="","",IF(OR(COUNTIF('Priority Rules'!$A$2:$A$24,A40)&gt;0,COUNTIF('Priority Rules'!$B$2:$B$8,B40)&gt;0),"P39",IF(COUNTIF('Priority Rules'!$C$2:$C$9,A40)&gt;0,"P40",IF(AND(OR(ISNUMBER(SEARCH("Varadero",C40)),ISNUMBER(SEARCH("Cayo Coco",C40)),ISNUMBER(SEARCH("Cayo Santa María",C40)),ISNUMBER(SEARCH("Cayo Santa Maria",C40)),ISNUMBER(SEARCH("Cayo Guillermo",C40)),ISNUMBER(SEARCH("Cayo Las Brujas",C40)),ISNUMBER(SEARCH("Cayo Ensenachos",C40)),ISNUMBER(SEARCH("Holguín",C40)),ISNUMBER(SEARCH("Holguin",C40)),ISNUMBER(SEARCH("Havana",C40)),ISNUMBER(SEARCH("Old Havana",C40)),ISNUMBER(SEARCH("Vedado",C40)),ISNUMBER(SEARCH("Miramar",C40))),NOT(ISNUMBER(SEARCH("historical",F40)))),"P40",IF(OR(ISNUMBER(SEARCH("historical",F40)),H40="Low",ISNUMBER(SEARCH("to verify",F40)),ISNUMBER(SEARCH("requires verification",F40))),"Backlog","P41")))))</f>
        <v>Backlog</v>
      </c>
      <c r="M40" s="3"/>
      <c r="N40" s="3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" t="s">
        <v>359</v>
      </c>
      <c r="B41" s="3"/>
      <c r="C41" s="3" t="s">
        <v>271</v>
      </c>
      <c r="D41" s="3" t="s">
        <v>40</v>
      </c>
      <c r="E41" s="3"/>
      <c r="F41" s="3" t="s">
        <v>44</v>
      </c>
      <c r="G41" s="3" t="s">
        <v>46</v>
      </c>
      <c r="H41" s="3" t="s">
        <v>48</v>
      </c>
      <c r="I41" s="3" t="s">
        <v>51</v>
      </c>
      <c r="J41" s="3"/>
      <c r="K41" s="3" t="s">
        <v>53</v>
      </c>
      <c r="L41" s="3" t="str">
        <f>IF(A41="","",IF(OR(COUNTIF('Priority Rules'!$A$2:$A$24,A41)&gt;0,COUNTIF('Priority Rules'!$B$2:$B$8,B41)&gt;0),"P40",IF(COUNTIF('Priority Rules'!$C$2:$C$9,A41)&gt;0,"P41",IF(AND(OR(ISNUMBER(SEARCH("Varadero",C41)),ISNUMBER(SEARCH("Cayo Coco",C41)),ISNUMBER(SEARCH("Cayo Santa María",C41)),ISNUMBER(SEARCH("Cayo Santa Maria",C41)),ISNUMBER(SEARCH("Cayo Guillermo",C41)),ISNUMBER(SEARCH("Cayo Las Brujas",C41)),ISNUMBER(SEARCH("Cayo Ensenachos",C41)),ISNUMBER(SEARCH("Holguín",C41)),ISNUMBER(SEARCH("Holguin",C41)),ISNUMBER(SEARCH("Havana",C41)),ISNUMBER(SEARCH("Old Havana",C41)),ISNUMBER(SEARCH("Vedado",C41)),ISNUMBER(SEARCH("Miramar",C41))),NOT(ISNUMBER(SEARCH("historical",F41)))),"P41",IF(OR(ISNUMBER(SEARCH("historical",F41)),H41="Low",ISNUMBER(SEARCH("to verify",F41)),ISNUMBER(SEARCH("requires verification",F41))),"Backlog","P42")))))</f>
        <v>Backlog</v>
      </c>
      <c r="M41" s="3"/>
      <c r="N41" s="3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" t="s">
        <v>368</v>
      </c>
      <c r="B42" s="3"/>
      <c r="C42" s="3" t="s">
        <v>370</v>
      </c>
      <c r="D42" s="3" t="s">
        <v>40</v>
      </c>
      <c r="E42" s="3"/>
      <c r="F42" s="3" t="s">
        <v>44</v>
      </c>
      <c r="G42" s="3" t="s">
        <v>46</v>
      </c>
      <c r="H42" s="3" t="s">
        <v>48</v>
      </c>
      <c r="I42" s="3" t="s">
        <v>51</v>
      </c>
      <c r="J42" s="3"/>
      <c r="K42" s="3" t="s">
        <v>53</v>
      </c>
      <c r="L42" s="3" t="str">
        <f>IF(A42="","",IF(OR(COUNTIF('Priority Rules'!$A$2:$A$24,A42)&gt;0,COUNTIF('Priority Rules'!$B$2:$B$8,B42)&gt;0),"P41",IF(COUNTIF('Priority Rules'!$C$2:$C$9,A42)&gt;0,"P42",IF(AND(OR(ISNUMBER(SEARCH("Varadero",C42)),ISNUMBER(SEARCH("Cayo Coco",C42)),ISNUMBER(SEARCH("Cayo Santa María",C42)),ISNUMBER(SEARCH("Cayo Santa Maria",C42)),ISNUMBER(SEARCH("Cayo Guillermo",C42)),ISNUMBER(SEARCH("Cayo Las Brujas",C42)),ISNUMBER(SEARCH("Cayo Ensenachos",C42)),ISNUMBER(SEARCH("Holguín",C42)),ISNUMBER(SEARCH("Holguin",C42)),ISNUMBER(SEARCH("Havana",C42)),ISNUMBER(SEARCH("Old Havana",C42)),ISNUMBER(SEARCH("Vedado",C42)),ISNUMBER(SEARCH("Miramar",C42))),NOT(ISNUMBER(SEARCH("historical",F42)))),"P42",IF(OR(ISNUMBER(SEARCH("historical",F42)),H42="Low",ISNUMBER(SEARCH("to verify",F42)),ISNUMBER(SEARCH("requires verification",F42))),"Backlog","P43")))))</f>
        <v>Backlog</v>
      </c>
      <c r="M42" s="3"/>
      <c r="N42" s="3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" t="s">
        <v>393</v>
      </c>
      <c r="B43" s="3"/>
      <c r="C43" s="3" t="s">
        <v>39</v>
      </c>
      <c r="D43" s="3" t="s">
        <v>40</v>
      </c>
      <c r="E43" s="3"/>
      <c r="F43" s="3" t="s">
        <v>44</v>
      </c>
      <c r="G43" s="3" t="s">
        <v>46</v>
      </c>
      <c r="H43" s="3" t="s">
        <v>48</v>
      </c>
      <c r="I43" s="3" t="s">
        <v>51</v>
      </c>
      <c r="J43" s="3"/>
      <c r="K43" s="3" t="s">
        <v>53</v>
      </c>
      <c r="L43" s="3" t="str">
        <f>IF(A43="","",IF(OR(COUNTIF('Priority Rules'!$A$2:$A$24,A43)&gt;0,COUNTIF('Priority Rules'!$B$2:$B$8,B43)&gt;0),"P42",IF(COUNTIF('Priority Rules'!$C$2:$C$9,A43)&gt;0,"P43",IF(AND(OR(ISNUMBER(SEARCH("Varadero",C43)),ISNUMBER(SEARCH("Cayo Coco",C43)),ISNUMBER(SEARCH("Cayo Santa María",C43)),ISNUMBER(SEARCH("Cayo Santa Maria",C43)),ISNUMBER(SEARCH("Cayo Guillermo",C43)),ISNUMBER(SEARCH("Cayo Las Brujas",C43)),ISNUMBER(SEARCH("Cayo Ensenachos",C43)),ISNUMBER(SEARCH("Holguín",C43)),ISNUMBER(SEARCH("Holguin",C43)),ISNUMBER(SEARCH("Havana",C43)),ISNUMBER(SEARCH("Old Havana",C43)),ISNUMBER(SEARCH("Vedado",C43)),ISNUMBER(SEARCH("Miramar",C43))),NOT(ISNUMBER(SEARCH("historical",F43)))),"P43",IF(OR(ISNUMBER(SEARCH("historical",F43)),H43="Low",ISNUMBER(SEARCH("to verify",F43)),ISNUMBER(SEARCH("requires verification",F43))),"Backlog","P44")))))</f>
        <v>Backlog</v>
      </c>
      <c r="M43" s="3"/>
      <c r="N43" s="3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" t="s">
        <v>409</v>
      </c>
      <c r="B44" s="3"/>
      <c r="C44" s="3" t="s">
        <v>39</v>
      </c>
      <c r="D44" s="3" t="s">
        <v>40</v>
      </c>
      <c r="E44" s="3"/>
      <c r="F44" s="3" t="s">
        <v>44</v>
      </c>
      <c r="G44" s="3" t="s">
        <v>46</v>
      </c>
      <c r="H44" s="3" t="s">
        <v>48</v>
      </c>
      <c r="I44" s="3" t="s">
        <v>51</v>
      </c>
      <c r="J44" s="3"/>
      <c r="K44" s="3" t="s">
        <v>53</v>
      </c>
      <c r="L44" s="3" t="str">
        <f>IF(A44="","",IF(OR(COUNTIF('Priority Rules'!$A$2:$A$24,A44)&gt;0,COUNTIF('Priority Rules'!$B$2:$B$8,B44)&gt;0),"P43",IF(COUNTIF('Priority Rules'!$C$2:$C$9,A44)&gt;0,"P44",IF(AND(OR(ISNUMBER(SEARCH("Varadero",C44)),ISNUMBER(SEARCH("Cayo Coco",C44)),ISNUMBER(SEARCH("Cayo Santa María",C44)),ISNUMBER(SEARCH("Cayo Santa Maria",C44)),ISNUMBER(SEARCH("Cayo Guillermo",C44)),ISNUMBER(SEARCH("Cayo Las Brujas",C44)),ISNUMBER(SEARCH("Cayo Ensenachos",C44)),ISNUMBER(SEARCH("Holguín",C44)),ISNUMBER(SEARCH("Holguin",C44)),ISNUMBER(SEARCH("Havana",C44)),ISNUMBER(SEARCH("Old Havana",C44)),ISNUMBER(SEARCH("Vedado",C44)),ISNUMBER(SEARCH("Miramar",C44))),NOT(ISNUMBER(SEARCH("historical",F44)))),"P44",IF(OR(ISNUMBER(SEARCH("historical",F44)),H44="Low",ISNUMBER(SEARCH("to verify",F44)),ISNUMBER(SEARCH("requires verification",F44))),"Backlog","P45")))))</f>
        <v>Backlog</v>
      </c>
      <c r="M44" s="3"/>
      <c r="N44" s="3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" t="s">
        <v>420</v>
      </c>
      <c r="B45" s="3"/>
      <c r="C45" s="3" t="s">
        <v>39</v>
      </c>
      <c r="D45" s="3" t="s">
        <v>40</v>
      </c>
      <c r="E45" s="3"/>
      <c r="F45" s="3" t="s">
        <v>44</v>
      </c>
      <c r="G45" s="3" t="s">
        <v>46</v>
      </c>
      <c r="H45" s="3" t="s">
        <v>48</v>
      </c>
      <c r="I45" s="3" t="s">
        <v>51</v>
      </c>
      <c r="J45" s="3"/>
      <c r="K45" s="3" t="s">
        <v>53</v>
      </c>
      <c r="L45" s="3" t="str">
        <f>IF(A45="","",IF(OR(COUNTIF('Priority Rules'!$A$2:$A$24,A45)&gt;0,COUNTIF('Priority Rules'!$B$2:$B$8,B45)&gt;0),"P44",IF(COUNTIF('Priority Rules'!$C$2:$C$9,A45)&gt;0,"P45",IF(AND(OR(ISNUMBER(SEARCH("Varadero",C45)),ISNUMBER(SEARCH("Cayo Coco",C45)),ISNUMBER(SEARCH("Cayo Santa María",C45)),ISNUMBER(SEARCH("Cayo Santa Maria",C45)),ISNUMBER(SEARCH("Cayo Guillermo",C45)),ISNUMBER(SEARCH("Cayo Las Brujas",C45)),ISNUMBER(SEARCH("Cayo Ensenachos",C45)),ISNUMBER(SEARCH("Holguín",C45)),ISNUMBER(SEARCH("Holguin",C45)),ISNUMBER(SEARCH("Havana",C45)),ISNUMBER(SEARCH("Old Havana",C45)),ISNUMBER(SEARCH("Vedado",C45)),ISNUMBER(SEARCH("Miramar",C45))),NOT(ISNUMBER(SEARCH("historical",F45)))),"P45",IF(OR(ISNUMBER(SEARCH("historical",F45)),H45="Low",ISNUMBER(SEARCH("to verify",F45)),ISNUMBER(SEARCH("requires verification",F45))),"Backlog","P46")))))</f>
        <v>Backlog</v>
      </c>
      <c r="M45" s="3"/>
      <c r="N45" s="3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" t="s">
        <v>433</v>
      </c>
      <c r="B46" s="3"/>
      <c r="C46" s="3" t="s">
        <v>247</v>
      </c>
      <c r="D46" s="3" t="s">
        <v>40</v>
      </c>
      <c r="E46" s="3"/>
      <c r="F46" s="3" t="s">
        <v>44</v>
      </c>
      <c r="G46" s="3" t="s">
        <v>46</v>
      </c>
      <c r="H46" s="3" t="s">
        <v>48</v>
      </c>
      <c r="I46" s="3" t="s">
        <v>51</v>
      </c>
      <c r="J46" s="3"/>
      <c r="K46" s="3" t="s">
        <v>53</v>
      </c>
      <c r="L46" s="3" t="str">
        <f>IF(A46="","",IF(OR(COUNTIF('Priority Rules'!$A$2:$A$24,A46)&gt;0,COUNTIF('Priority Rules'!$B$2:$B$8,B46)&gt;0),"P45",IF(COUNTIF('Priority Rules'!$C$2:$C$9,A46)&gt;0,"P46",IF(AND(OR(ISNUMBER(SEARCH("Varadero",C46)),ISNUMBER(SEARCH("Cayo Coco",C46)),ISNUMBER(SEARCH("Cayo Santa María",C46)),ISNUMBER(SEARCH("Cayo Santa Maria",C46)),ISNUMBER(SEARCH("Cayo Guillermo",C46)),ISNUMBER(SEARCH("Cayo Las Brujas",C46)),ISNUMBER(SEARCH("Cayo Ensenachos",C46)),ISNUMBER(SEARCH("Holguín",C46)),ISNUMBER(SEARCH("Holguin",C46)),ISNUMBER(SEARCH("Havana",C46)),ISNUMBER(SEARCH("Old Havana",C46)),ISNUMBER(SEARCH("Vedado",C46)),ISNUMBER(SEARCH("Miramar",C46))),NOT(ISNUMBER(SEARCH("historical",F46)))),"P46",IF(OR(ISNUMBER(SEARCH("historical",F46)),H46="Low",ISNUMBER(SEARCH("to verify",F46)),ISNUMBER(SEARCH("requires verification",F46))),"Backlog","P47")))))</f>
        <v>Backlog</v>
      </c>
      <c r="M46" s="3"/>
      <c r="N46" s="3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" t="s">
        <v>446</v>
      </c>
      <c r="B47" s="3"/>
      <c r="C47" s="3" t="s">
        <v>150</v>
      </c>
      <c r="D47" s="3" t="s">
        <v>40</v>
      </c>
      <c r="E47" s="3"/>
      <c r="F47" s="3" t="s">
        <v>44</v>
      </c>
      <c r="G47" s="3" t="s">
        <v>46</v>
      </c>
      <c r="H47" s="3" t="s">
        <v>48</v>
      </c>
      <c r="I47" s="3" t="s">
        <v>51</v>
      </c>
      <c r="J47" s="3"/>
      <c r="K47" s="3" t="s">
        <v>53</v>
      </c>
      <c r="L47" s="3" t="str">
        <f>IF(A47="","",IF(OR(COUNTIF('Priority Rules'!$A$2:$A$24,A47)&gt;0,COUNTIF('Priority Rules'!$B$2:$B$8,B47)&gt;0),"P46",IF(COUNTIF('Priority Rules'!$C$2:$C$9,A47)&gt;0,"P47",IF(AND(OR(ISNUMBER(SEARCH("Varadero",C47)),ISNUMBER(SEARCH("Cayo Coco",C47)),ISNUMBER(SEARCH("Cayo Santa María",C47)),ISNUMBER(SEARCH("Cayo Santa Maria",C47)),ISNUMBER(SEARCH("Cayo Guillermo",C47)),ISNUMBER(SEARCH("Cayo Las Brujas",C47)),ISNUMBER(SEARCH("Cayo Ensenachos",C47)),ISNUMBER(SEARCH("Holguín",C47)),ISNUMBER(SEARCH("Holguin",C47)),ISNUMBER(SEARCH("Havana",C47)),ISNUMBER(SEARCH("Old Havana",C47)),ISNUMBER(SEARCH("Vedado",C47)),ISNUMBER(SEARCH("Miramar",C47))),NOT(ISNUMBER(SEARCH("historical",F47)))),"P47",IF(OR(ISNUMBER(SEARCH("historical",F47)),H47="Low",ISNUMBER(SEARCH("to verify",F47)),ISNUMBER(SEARCH("requires verification",F47))),"Backlog","P48")))))</f>
        <v>Backlog</v>
      </c>
      <c r="M47" s="3"/>
      <c r="N47" s="3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" t="s">
        <v>462</v>
      </c>
      <c r="B48" s="3"/>
      <c r="C48" s="3" t="s">
        <v>37</v>
      </c>
      <c r="D48" s="3" t="s">
        <v>40</v>
      </c>
      <c r="E48" s="3"/>
      <c r="F48" s="3" t="s">
        <v>44</v>
      </c>
      <c r="G48" s="3" t="s">
        <v>46</v>
      </c>
      <c r="H48" s="3" t="s">
        <v>48</v>
      </c>
      <c r="I48" s="3" t="s">
        <v>51</v>
      </c>
      <c r="J48" s="3"/>
      <c r="K48" s="3" t="s">
        <v>53</v>
      </c>
      <c r="L48" s="3" t="str">
        <f>IF(A48="","",IF(OR(COUNTIF('Priority Rules'!$A$2:$A$24,A48)&gt;0,COUNTIF('Priority Rules'!$B$2:$B$8,B48)&gt;0),"P47",IF(COUNTIF('Priority Rules'!$C$2:$C$9,A48)&gt;0,"P48",IF(AND(OR(ISNUMBER(SEARCH("Varadero",C48)),ISNUMBER(SEARCH("Cayo Coco",C48)),ISNUMBER(SEARCH("Cayo Santa María",C48)),ISNUMBER(SEARCH("Cayo Santa Maria",C48)),ISNUMBER(SEARCH("Cayo Guillermo",C48)),ISNUMBER(SEARCH("Cayo Las Brujas",C48)),ISNUMBER(SEARCH("Cayo Ensenachos",C48)),ISNUMBER(SEARCH("Holguín",C48)),ISNUMBER(SEARCH("Holguin",C48)),ISNUMBER(SEARCH("Havana",C48)),ISNUMBER(SEARCH("Old Havana",C48)),ISNUMBER(SEARCH("Vedado",C48)),ISNUMBER(SEARCH("Miramar",C48))),NOT(ISNUMBER(SEARCH("historical",F48)))),"P48",IF(OR(ISNUMBER(SEARCH("historical",F48)),H48="Low",ISNUMBER(SEARCH("to verify",F48)),ISNUMBER(SEARCH("requires verification",F48))),"Backlog","P49")))))</f>
        <v>Backlog</v>
      </c>
      <c r="M48" s="3"/>
      <c r="N48" s="3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" t="s">
        <v>476</v>
      </c>
      <c r="B49" s="3"/>
      <c r="C49" s="3" t="s">
        <v>37</v>
      </c>
      <c r="D49" s="3" t="s">
        <v>40</v>
      </c>
      <c r="E49" s="3"/>
      <c r="F49" s="3" t="s">
        <v>44</v>
      </c>
      <c r="G49" s="3" t="s">
        <v>46</v>
      </c>
      <c r="H49" s="3" t="s">
        <v>48</v>
      </c>
      <c r="I49" s="3" t="s">
        <v>51</v>
      </c>
      <c r="J49" s="3"/>
      <c r="K49" s="3" t="s">
        <v>53</v>
      </c>
      <c r="L49" s="3" t="str">
        <f>IF(A49="","",IF(OR(COUNTIF('Priority Rules'!$A$2:$A$24,A49)&gt;0,COUNTIF('Priority Rules'!$B$2:$B$8,B49)&gt;0),"P48",IF(COUNTIF('Priority Rules'!$C$2:$C$9,A49)&gt;0,"P49",IF(AND(OR(ISNUMBER(SEARCH("Varadero",C49)),ISNUMBER(SEARCH("Cayo Coco",C49)),ISNUMBER(SEARCH("Cayo Santa María",C49)),ISNUMBER(SEARCH("Cayo Santa Maria",C49)),ISNUMBER(SEARCH("Cayo Guillermo",C49)),ISNUMBER(SEARCH("Cayo Las Brujas",C49)),ISNUMBER(SEARCH("Cayo Ensenachos",C49)),ISNUMBER(SEARCH("Holguín",C49)),ISNUMBER(SEARCH("Holguin",C49)),ISNUMBER(SEARCH("Havana",C49)),ISNUMBER(SEARCH("Old Havana",C49)),ISNUMBER(SEARCH("Vedado",C49)),ISNUMBER(SEARCH("Miramar",C49))),NOT(ISNUMBER(SEARCH("historical",F49)))),"P49",IF(OR(ISNUMBER(SEARCH("historical",F49)),H49="Low",ISNUMBER(SEARCH("to verify",F49)),ISNUMBER(SEARCH("requires verification",F49))),"Backlog","P50")))))</f>
        <v>Backlog</v>
      </c>
      <c r="M49" s="3"/>
      <c r="N49" s="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" t="s">
        <v>488</v>
      </c>
      <c r="B50" s="3"/>
      <c r="C50" s="3" t="s">
        <v>37</v>
      </c>
      <c r="D50" s="3" t="s">
        <v>40</v>
      </c>
      <c r="E50" s="3"/>
      <c r="F50" s="3" t="s">
        <v>44</v>
      </c>
      <c r="G50" s="3" t="s">
        <v>46</v>
      </c>
      <c r="H50" s="3" t="s">
        <v>48</v>
      </c>
      <c r="I50" s="3" t="s">
        <v>51</v>
      </c>
      <c r="J50" s="3"/>
      <c r="K50" s="3" t="s">
        <v>53</v>
      </c>
      <c r="L50" s="3" t="str">
        <f>IF(A50="","",IF(OR(COUNTIF('Priority Rules'!$A$2:$A$24,A50)&gt;0,COUNTIF('Priority Rules'!$B$2:$B$8,B50)&gt;0),"P49",IF(COUNTIF('Priority Rules'!$C$2:$C$9,A50)&gt;0,"P50",IF(AND(OR(ISNUMBER(SEARCH("Varadero",C50)),ISNUMBER(SEARCH("Cayo Coco",C50)),ISNUMBER(SEARCH("Cayo Santa María",C50)),ISNUMBER(SEARCH("Cayo Santa Maria",C50)),ISNUMBER(SEARCH("Cayo Guillermo",C50)),ISNUMBER(SEARCH("Cayo Las Brujas",C50)),ISNUMBER(SEARCH("Cayo Ensenachos",C50)),ISNUMBER(SEARCH("Holguín",C50)),ISNUMBER(SEARCH("Holguin",C50)),ISNUMBER(SEARCH("Havana",C50)),ISNUMBER(SEARCH("Old Havana",C50)),ISNUMBER(SEARCH("Vedado",C50)),ISNUMBER(SEARCH("Miramar",C50))),NOT(ISNUMBER(SEARCH("historical",F50)))),"P50",IF(OR(ISNUMBER(SEARCH("historical",F50)),H50="Low",ISNUMBER(SEARCH("to verify",F50)),ISNUMBER(SEARCH("requires verification",F50))),"Backlog","P51")))))</f>
        <v>Backlog</v>
      </c>
      <c r="M50" s="3"/>
      <c r="N50" s="3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" t="s">
        <v>504</v>
      </c>
      <c r="B51" s="3"/>
      <c r="C51" s="3" t="s">
        <v>37</v>
      </c>
      <c r="D51" s="3" t="s">
        <v>40</v>
      </c>
      <c r="E51" s="3"/>
      <c r="F51" s="3" t="s">
        <v>44</v>
      </c>
      <c r="G51" s="3" t="s">
        <v>46</v>
      </c>
      <c r="H51" s="3" t="s">
        <v>48</v>
      </c>
      <c r="I51" s="3" t="s">
        <v>51</v>
      </c>
      <c r="J51" s="3"/>
      <c r="K51" s="3" t="s">
        <v>53</v>
      </c>
      <c r="L51" s="3" t="str">
        <f>IF(A51="","",IF(OR(COUNTIF('Priority Rules'!$A$2:$A$24,A51)&gt;0,COUNTIF('Priority Rules'!$B$2:$B$8,B51)&gt;0),"P50",IF(COUNTIF('Priority Rules'!$C$2:$C$9,A51)&gt;0,"P51",IF(AND(OR(ISNUMBER(SEARCH("Varadero",C51)),ISNUMBER(SEARCH("Cayo Coco",C51)),ISNUMBER(SEARCH("Cayo Santa María",C51)),ISNUMBER(SEARCH("Cayo Santa Maria",C51)),ISNUMBER(SEARCH("Cayo Guillermo",C51)),ISNUMBER(SEARCH("Cayo Las Brujas",C51)),ISNUMBER(SEARCH("Cayo Ensenachos",C51)),ISNUMBER(SEARCH("Holguín",C51)),ISNUMBER(SEARCH("Holguin",C51)),ISNUMBER(SEARCH("Havana",C51)),ISNUMBER(SEARCH("Old Havana",C51)),ISNUMBER(SEARCH("Vedado",C51)),ISNUMBER(SEARCH("Miramar",C51))),NOT(ISNUMBER(SEARCH("historical",F51)))),"P51",IF(OR(ISNUMBER(SEARCH("historical",F51)),H51="Low",ISNUMBER(SEARCH("to verify",F51)),ISNUMBER(SEARCH("requires verification",F51))),"Backlog","P52")))))</f>
        <v>Backlog</v>
      </c>
      <c r="M51" s="3"/>
      <c r="N51" s="3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" t="s">
        <v>515</v>
      </c>
      <c r="B52" s="3"/>
      <c r="C52" s="3" t="s">
        <v>37</v>
      </c>
      <c r="D52" s="3" t="s">
        <v>40</v>
      </c>
      <c r="E52" s="3"/>
      <c r="F52" s="3" t="s">
        <v>44</v>
      </c>
      <c r="G52" s="3" t="s">
        <v>46</v>
      </c>
      <c r="H52" s="3" t="s">
        <v>48</v>
      </c>
      <c r="I52" s="3" t="s">
        <v>51</v>
      </c>
      <c r="J52" s="3"/>
      <c r="K52" s="3" t="s">
        <v>53</v>
      </c>
      <c r="L52" s="3" t="str">
        <f>IF(A52="","",IF(OR(COUNTIF('Priority Rules'!$A$2:$A$24,A52)&gt;0,COUNTIF('Priority Rules'!$B$2:$B$8,B52)&gt;0),"P51",IF(COUNTIF('Priority Rules'!$C$2:$C$9,A52)&gt;0,"P52",IF(AND(OR(ISNUMBER(SEARCH("Varadero",C52)),ISNUMBER(SEARCH("Cayo Coco",C52)),ISNUMBER(SEARCH("Cayo Santa María",C52)),ISNUMBER(SEARCH("Cayo Santa Maria",C52)),ISNUMBER(SEARCH("Cayo Guillermo",C52)),ISNUMBER(SEARCH("Cayo Las Brujas",C52)),ISNUMBER(SEARCH("Cayo Ensenachos",C52)),ISNUMBER(SEARCH("Holguín",C52)),ISNUMBER(SEARCH("Holguin",C52)),ISNUMBER(SEARCH("Havana",C52)),ISNUMBER(SEARCH("Old Havana",C52)),ISNUMBER(SEARCH("Vedado",C52)),ISNUMBER(SEARCH("Miramar",C52))),NOT(ISNUMBER(SEARCH("historical",F52)))),"P52",IF(OR(ISNUMBER(SEARCH("historical",F52)),H52="Low",ISNUMBER(SEARCH("to verify",F52)),ISNUMBER(SEARCH("requires verification",F52))),"Backlog","P53")))))</f>
        <v>Backlog</v>
      </c>
      <c r="M52" s="3"/>
      <c r="N52" s="3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" t="s">
        <v>520</v>
      </c>
      <c r="B53" s="3"/>
      <c r="C53" s="3" t="s">
        <v>39</v>
      </c>
      <c r="D53" s="3" t="s">
        <v>40</v>
      </c>
      <c r="E53" s="3"/>
      <c r="F53" s="3" t="s">
        <v>44</v>
      </c>
      <c r="G53" s="3" t="s">
        <v>46</v>
      </c>
      <c r="H53" s="3" t="s">
        <v>48</v>
      </c>
      <c r="I53" s="3" t="s">
        <v>51</v>
      </c>
      <c r="J53" s="3"/>
      <c r="K53" s="3" t="s">
        <v>53</v>
      </c>
      <c r="L53" s="3" t="str">
        <f>IF(A53="","",IF(OR(COUNTIF('Priority Rules'!$A$2:$A$24,A53)&gt;0,COUNTIF('Priority Rules'!$B$2:$B$8,B53)&gt;0),"P52",IF(COUNTIF('Priority Rules'!$C$2:$C$9,A53)&gt;0,"P53",IF(AND(OR(ISNUMBER(SEARCH("Varadero",C53)),ISNUMBER(SEARCH("Cayo Coco",C53)),ISNUMBER(SEARCH("Cayo Santa María",C53)),ISNUMBER(SEARCH("Cayo Santa Maria",C53)),ISNUMBER(SEARCH("Cayo Guillermo",C53)),ISNUMBER(SEARCH("Cayo Las Brujas",C53)),ISNUMBER(SEARCH("Cayo Ensenachos",C53)),ISNUMBER(SEARCH("Holguín",C53)),ISNUMBER(SEARCH("Holguin",C53)),ISNUMBER(SEARCH("Havana",C53)),ISNUMBER(SEARCH("Old Havana",C53)),ISNUMBER(SEARCH("Vedado",C53)),ISNUMBER(SEARCH("Miramar",C53))),NOT(ISNUMBER(SEARCH("historical",F53)))),"P53",IF(OR(ISNUMBER(SEARCH("historical",F53)),H53="Low",ISNUMBER(SEARCH("to verify",F53)),ISNUMBER(SEARCH("requires verification",F53))),"Backlog","P54")))))</f>
        <v>Backlog</v>
      </c>
      <c r="M53" s="3"/>
      <c r="N53" s="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" t="s">
        <v>521</v>
      </c>
      <c r="B54" s="3"/>
      <c r="C54" s="3" t="s">
        <v>522</v>
      </c>
      <c r="D54" s="3" t="s">
        <v>40</v>
      </c>
      <c r="E54" s="3"/>
      <c r="F54" s="3" t="s">
        <v>44</v>
      </c>
      <c r="G54" s="3" t="s">
        <v>46</v>
      </c>
      <c r="H54" s="3" t="s">
        <v>48</v>
      </c>
      <c r="I54" s="3" t="s">
        <v>51</v>
      </c>
      <c r="J54" s="3"/>
      <c r="K54" s="3" t="s">
        <v>53</v>
      </c>
      <c r="L54" s="3" t="str">
        <f>IF(A54="","",IF(OR(COUNTIF('Priority Rules'!$A$2:$A$24,A54)&gt;0,COUNTIF('Priority Rules'!$B$2:$B$8,B54)&gt;0),"P53",IF(COUNTIF('Priority Rules'!$C$2:$C$9,A54)&gt;0,"P54",IF(AND(OR(ISNUMBER(SEARCH("Varadero",C54)),ISNUMBER(SEARCH("Cayo Coco",C54)),ISNUMBER(SEARCH("Cayo Santa María",C54)),ISNUMBER(SEARCH("Cayo Santa Maria",C54)),ISNUMBER(SEARCH("Cayo Guillermo",C54)),ISNUMBER(SEARCH("Cayo Las Brujas",C54)),ISNUMBER(SEARCH("Cayo Ensenachos",C54)),ISNUMBER(SEARCH("Holguín",C54)),ISNUMBER(SEARCH("Holguin",C54)),ISNUMBER(SEARCH("Havana",C54)),ISNUMBER(SEARCH("Old Havana",C54)),ISNUMBER(SEARCH("Vedado",C54)),ISNUMBER(SEARCH("Miramar",C54))),NOT(ISNUMBER(SEARCH("historical",F54)))),"P54",IF(OR(ISNUMBER(SEARCH("historical",F54)),H54="Low",ISNUMBER(SEARCH("to verify",F54)),ISNUMBER(SEARCH("requires verification",F54))),"Backlog","P55")))))</f>
        <v>Backlog</v>
      </c>
      <c r="M54" s="3"/>
      <c r="N54" s="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" t="s">
        <v>523</v>
      </c>
      <c r="B55" s="3"/>
      <c r="C55" s="3" t="s">
        <v>252</v>
      </c>
      <c r="D55" s="3" t="s">
        <v>40</v>
      </c>
      <c r="E55" s="3"/>
      <c r="F55" s="3" t="s">
        <v>44</v>
      </c>
      <c r="G55" s="3" t="s">
        <v>46</v>
      </c>
      <c r="H55" s="3" t="s">
        <v>48</v>
      </c>
      <c r="I55" s="3" t="s">
        <v>51</v>
      </c>
      <c r="J55" s="3"/>
      <c r="K55" s="3" t="s">
        <v>53</v>
      </c>
      <c r="L55" s="3" t="str">
        <f>IF(A55="","",IF(OR(COUNTIF('Priority Rules'!$A$2:$A$24,A55)&gt;0,COUNTIF('Priority Rules'!$B$2:$B$8,B55)&gt;0),"P54",IF(COUNTIF('Priority Rules'!$C$2:$C$9,A55)&gt;0,"P55",IF(AND(OR(ISNUMBER(SEARCH("Varadero",C55)),ISNUMBER(SEARCH("Cayo Coco",C55)),ISNUMBER(SEARCH("Cayo Santa María",C55)),ISNUMBER(SEARCH("Cayo Santa Maria",C55)),ISNUMBER(SEARCH("Cayo Guillermo",C55)),ISNUMBER(SEARCH("Cayo Las Brujas",C55)),ISNUMBER(SEARCH("Cayo Ensenachos",C55)),ISNUMBER(SEARCH("Holguín",C55)),ISNUMBER(SEARCH("Holguin",C55)),ISNUMBER(SEARCH("Havana",C55)),ISNUMBER(SEARCH("Old Havana",C55)),ISNUMBER(SEARCH("Vedado",C55)),ISNUMBER(SEARCH("Miramar",C55))),NOT(ISNUMBER(SEARCH("historical",F55)))),"P55",IF(OR(ISNUMBER(SEARCH("historical",F55)),H55="Low",ISNUMBER(SEARCH("to verify",F55)),ISNUMBER(SEARCH("requires verification",F55))),"Backlog","P56")))))</f>
        <v>Backlog</v>
      </c>
      <c r="M55" s="3"/>
      <c r="N55" s="3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" t="s">
        <v>525</v>
      </c>
      <c r="B56" s="3"/>
      <c r="C56" s="3" t="s">
        <v>252</v>
      </c>
      <c r="D56" s="3" t="s">
        <v>40</v>
      </c>
      <c r="E56" s="3"/>
      <c r="F56" s="3" t="s">
        <v>44</v>
      </c>
      <c r="G56" s="3" t="s">
        <v>46</v>
      </c>
      <c r="H56" s="3" t="s">
        <v>48</v>
      </c>
      <c r="I56" s="3" t="s">
        <v>51</v>
      </c>
      <c r="J56" s="3"/>
      <c r="K56" s="3" t="s">
        <v>53</v>
      </c>
      <c r="L56" s="3" t="str">
        <f>IF(A56="","",IF(OR(COUNTIF('Priority Rules'!$A$2:$A$24,A56)&gt;0,COUNTIF('Priority Rules'!$B$2:$B$8,B56)&gt;0),"P55",IF(COUNTIF('Priority Rules'!$C$2:$C$9,A56)&gt;0,"P56",IF(AND(OR(ISNUMBER(SEARCH("Varadero",C56)),ISNUMBER(SEARCH("Cayo Coco",C56)),ISNUMBER(SEARCH("Cayo Santa María",C56)),ISNUMBER(SEARCH("Cayo Santa Maria",C56)),ISNUMBER(SEARCH("Cayo Guillermo",C56)),ISNUMBER(SEARCH("Cayo Las Brujas",C56)),ISNUMBER(SEARCH("Cayo Ensenachos",C56)),ISNUMBER(SEARCH("Holguín",C56)),ISNUMBER(SEARCH("Holguin",C56)),ISNUMBER(SEARCH("Havana",C56)),ISNUMBER(SEARCH("Old Havana",C56)),ISNUMBER(SEARCH("Vedado",C56)),ISNUMBER(SEARCH("Miramar",C56))),NOT(ISNUMBER(SEARCH("historical",F56)))),"P56",IF(OR(ISNUMBER(SEARCH("historical",F56)),H56="Low",ISNUMBER(SEARCH("to verify",F56)),ISNUMBER(SEARCH("requires verification",F56))),"Backlog","P57")))))</f>
        <v>Backlog</v>
      </c>
      <c r="M56" s="3"/>
      <c r="N56" s="3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" t="s">
        <v>542</v>
      </c>
      <c r="B57" s="3"/>
      <c r="C57" s="3" t="s">
        <v>262</v>
      </c>
      <c r="D57" s="3" t="s">
        <v>40</v>
      </c>
      <c r="E57" s="3"/>
      <c r="F57" s="3" t="s">
        <v>44</v>
      </c>
      <c r="G57" s="3" t="s">
        <v>46</v>
      </c>
      <c r="H57" s="3" t="s">
        <v>48</v>
      </c>
      <c r="I57" s="3" t="s">
        <v>51</v>
      </c>
      <c r="J57" s="3"/>
      <c r="K57" s="3" t="s">
        <v>53</v>
      </c>
      <c r="L57" s="3" t="str">
        <f>IF(A57="","",IF(OR(COUNTIF('Priority Rules'!$A$2:$A$24,A57)&gt;0,COUNTIF('Priority Rules'!$B$2:$B$8,B57)&gt;0),"P56",IF(COUNTIF('Priority Rules'!$C$2:$C$9,A57)&gt;0,"P57",IF(AND(OR(ISNUMBER(SEARCH("Varadero",C57)),ISNUMBER(SEARCH("Cayo Coco",C57)),ISNUMBER(SEARCH("Cayo Santa María",C57)),ISNUMBER(SEARCH("Cayo Santa Maria",C57)),ISNUMBER(SEARCH("Cayo Guillermo",C57)),ISNUMBER(SEARCH("Cayo Las Brujas",C57)),ISNUMBER(SEARCH("Cayo Ensenachos",C57)),ISNUMBER(SEARCH("Holguín",C57)),ISNUMBER(SEARCH("Holguin",C57)),ISNUMBER(SEARCH("Havana",C57)),ISNUMBER(SEARCH("Old Havana",C57)),ISNUMBER(SEARCH("Vedado",C57)),ISNUMBER(SEARCH("Miramar",C57))),NOT(ISNUMBER(SEARCH("historical",F57)))),"P57",IF(OR(ISNUMBER(SEARCH("historical",F57)),H57="Low",ISNUMBER(SEARCH("to verify",F57)),ISNUMBER(SEARCH("requires verification",F57))),"Backlog","P58")))))</f>
        <v>Backlog</v>
      </c>
      <c r="M57" s="3"/>
      <c r="N57" s="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" t="s">
        <v>543</v>
      </c>
      <c r="B58" s="3"/>
      <c r="C58" s="3" t="s">
        <v>262</v>
      </c>
      <c r="D58" s="3" t="s">
        <v>40</v>
      </c>
      <c r="E58" s="3"/>
      <c r="F58" s="3" t="s">
        <v>44</v>
      </c>
      <c r="G58" s="3" t="s">
        <v>46</v>
      </c>
      <c r="H58" s="3" t="s">
        <v>48</v>
      </c>
      <c r="I58" s="3" t="s">
        <v>51</v>
      </c>
      <c r="J58" s="3"/>
      <c r="K58" s="3" t="s">
        <v>53</v>
      </c>
      <c r="L58" s="3" t="str">
        <f>IF(A58="","",IF(OR(COUNTIF('Priority Rules'!$A$2:$A$24,A58)&gt;0,COUNTIF('Priority Rules'!$B$2:$B$8,B58)&gt;0),"P57",IF(COUNTIF('Priority Rules'!$C$2:$C$9,A58)&gt;0,"P58",IF(AND(OR(ISNUMBER(SEARCH("Varadero",C58)),ISNUMBER(SEARCH("Cayo Coco",C58)),ISNUMBER(SEARCH("Cayo Santa María",C58)),ISNUMBER(SEARCH("Cayo Santa Maria",C58)),ISNUMBER(SEARCH("Cayo Guillermo",C58)),ISNUMBER(SEARCH("Cayo Las Brujas",C58)),ISNUMBER(SEARCH("Cayo Ensenachos",C58)),ISNUMBER(SEARCH("Holguín",C58)),ISNUMBER(SEARCH("Holguin",C58)),ISNUMBER(SEARCH("Havana",C58)),ISNUMBER(SEARCH("Old Havana",C58)),ISNUMBER(SEARCH("Vedado",C58)),ISNUMBER(SEARCH("Miramar",C58))),NOT(ISNUMBER(SEARCH("historical",F58)))),"P58",IF(OR(ISNUMBER(SEARCH("historical",F58)),H58="Low",ISNUMBER(SEARCH("to verify",F58)),ISNUMBER(SEARCH("requires verification",F58))),"Backlog","P59")))))</f>
        <v>Backlog</v>
      </c>
      <c r="M58" s="3"/>
      <c r="N58" s="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" t="s">
        <v>544</v>
      </c>
      <c r="B59" s="3"/>
      <c r="C59" s="3" t="s">
        <v>391</v>
      </c>
      <c r="D59" s="3" t="s">
        <v>40</v>
      </c>
      <c r="E59" s="3"/>
      <c r="F59" s="3" t="s">
        <v>44</v>
      </c>
      <c r="G59" s="3" t="s">
        <v>46</v>
      </c>
      <c r="H59" s="3" t="s">
        <v>48</v>
      </c>
      <c r="I59" s="3" t="s">
        <v>51</v>
      </c>
      <c r="J59" s="3"/>
      <c r="K59" s="3" t="s">
        <v>53</v>
      </c>
      <c r="L59" s="3" t="str">
        <f>IF(A59="","",IF(OR(COUNTIF('Priority Rules'!$A$2:$A$24,A59)&gt;0,COUNTIF('Priority Rules'!$B$2:$B$8,B59)&gt;0),"P58",IF(COUNTIF('Priority Rules'!$C$2:$C$9,A59)&gt;0,"P59",IF(AND(OR(ISNUMBER(SEARCH("Varadero",C59)),ISNUMBER(SEARCH("Cayo Coco",C59)),ISNUMBER(SEARCH("Cayo Santa María",C59)),ISNUMBER(SEARCH("Cayo Santa Maria",C59)),ISNUMBER(SEARCH("Cayo Guillermo",C59)),ISNUMBER(SEARCH("Cayo Las Brujas",C59)),ISNUMBER(SEARCH("Cayo Ensenachos",C59)),ISNUMBER(SEARCH("Holguín",C59)),ISNUMBER(SEARCH("Holguin",C59)),ISNUMBER(SEARCH("Havana",C59)),ISNUMBER(SEARCH("Old Havana",C59)),ISNUMBER(SEARCH("Vedado",C59)),ISNUMBER(SEARCH("Miramar",C59))),NOT(ISNUMBER(SEARCH("historical",F59)))),"P59",IF(OR(ISNUMBER(SEARCH("historical",F59)),H59="Low",ISNUMBER(SEARCH("to verify",F59)),ISNUMBER(SEARCH("requires verification",F59))),"Backlog","P60")))))</f>
        <v>Backlog</v>
      </c>
      <c r="M59" s="3"/>
      <c r="N59" s="3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" t="s">
        <v>545</v>
      </c>
      <c r="B60" s="3"/>
      <c r="C60" s="3" t="s">
        <v>150</v>
      </c>
      <c r="D60" s="3" t="s">
        <v>40</v>
      </c>
      <c r="E60" s="3"/>
      <c r="F60" s="3" t="s">
        <v>44</v>
      </c>
      <c r="G60" s="3" t="s">
        <v>46</v>
      </c>
      <c r="H60" s="3" t="s">
        <v>48</v>
      </c>
      <c r="I60" s="3" t="s">
        <v>51</v>
      </c>
      <c r="J60" s="3"/>
      <c r="K60" s="3" t="s">
        <v>53</v>
      </c>
      <c r="L60" s="3" t="str">
        <f>IF(A60="","",IF(OR(COUNTIF('Priority Rules'!$A$2:$A$24,A60)&gt;0,COUNTIF('Priority Rules'!$B$2:$B$8,B60)&gt;0),"P59",IF(COUNTIF('Priority Rules'!$C$2:$C$9,A60)&gt;0,"P60",IF(AND(OR(ISNUMBER(SEARCH("Varadero",C60)),ISNUMBER(SEARCH("Cayo Coco",C60)),ISNUMBER(SEARCH("Cayo Santa María",C60)),ISNUMBER(SEARCH("Cayo Santa Maria",C60)),ISNUMBER(SEARCH("Cayo Guillermo",C60)),ISNUMBER(SEARCH("Cayo Las Brujas",C60)),ISNUMBER(SEARCH("Cayo Ensenachos",C60)),ISNUMBER(SEARCH("Holguín",C60)),ISNUMBER(SEARCH("Holguin",C60)),ISNUMBER(SEARCH("Havana",C60)),ISNUMBER(SEARCH("Old Havana",C60)),ISNUMBER(SEARCH("Vedado",C60)),ISNUMBER(SEARCH("Miramar",C60))),NOT(ISNUMBER(SEARCH("historical",F60)))),"P60",IF(OR(ISNUMBER(SEARCH("historical",F60)),H60="Low",ISNUMBER(SEARCH("to verify",F60)),ISNUMBER(SEARCH("requires verification",F60))),"Backlog","P61")))))</f>
        <v>Backlog</v>
      </c>
      <c r="M60" s="3"/>
      <c r="N60" s="3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" t="s">
        <v>519</v>
      </c>
      <c r="B61" s="3"/>
      <c r="C61" s="3" t="s">
        <v>370</v>
      </c>
      <c r="D61" s="3" t="s">
        <v>40</v>
      </c>
      <c r="E61" s="3"/>
      <c r="F61" s="3" t="s">
        <v>44</v>
      </c>
      <c r="G61" s="3" t="s">
        <v>46</v>
      </c>
      <c r="H61" s="3" t="s">
        <v>48</v>
      </c>
      <c r="I61" s="3" t="s">
        <v>51</v>
      </c>
      <c r="J61" s="3"/>
      <c r="K61" s="3" t="s">
        <v>53</v>
      </c>
      <c r="L61" s="3" t="str">
        <f>IF(A61="","",IF(OR(COUNTIF('Priority Rules'!$A$2:$A$24,A61)&gt;0,COUNTIF('Priority Rules'!$B$2:$B$8,B61)&gt;0),"P60",IF(COUNTIF('Priority Rules'!$C$2:$C$9,A61)&gt;0,"P61",IF(AND(OR(ISNUMBER(SEARCH("Varadero",C61)),ISNUMBER(SEARCH("Cayo Coco",C61)),ISNUMBER(SEARCH("Cayo Santa María",C61)),ISNUMBER(SEARCH("Cayo Santa Maria",C61)),ISNUMBER(SEARCH("Cayo Guillermo",C61)),ISNUMBER(SEARCH("Cayo Las Brujas",C61)),ISNUMBER(SEARCH("Cayo Ensenachos",C61)),ISNUMBER(SEARCH("Holguín",C61)),ISNUMBER(SEARCH("Holguin",C61)),ISNUMBER(SEARCH("Havana",C61)),ISNUMBER(SEARCH("Old Havana",C61)),ISNUMBER(SEARCH("Vedado",C61)),ISNUMBER(SEARCH("Miramar",C61))),NOT(ISNUMBER(SEARCH("historical",F61)))),"P61",IF(OR(ISNUMBER(SEARCH("historical",F61)),H61="Low",ISNUMBER(SEARCH("to verify",F61)),ISNUMBER(SEARCH("requires verification",F61))),"Backlog","P62")))))</f>
        <v>Backlog</v>
      </c>
      <c r="M61" s="3"/>
      <c r="N61" s="3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" t="s">
        <v>546</v>
      </c>
      <c r="B62" s="3"/>
      <c r="C62" s="3" t="s">
        <v>370</v>
      </c>
      <c r="D62" s="3" t="s">
        <v>40</v>
      </c>
      <c r="E62" s="3"/>
      <c r="F62" s="3" t="s">
        <v>44</v>
      </c>
      <c r="G62" s="3" t="s">
        <v>46</v>
      </c>
      <c r="H62" s="3" t="s">
        <v>48</v>
      </c>
      <c r="I62" s="3" t="s">
        <v>51</v>
      </c>
      <c r="J62" s="3"/>
      <c r="K62" s="3" t="s">
        <v>53</v>
      </c>
      <c r="L62" s="3" t="str">
        <f>IF(A62="","",IF(OR(COUNTIF('Priority Rules'!$A$2:$A$24,A62)&gt;0,COUNTIF('Priority Rules'!$B$2:$B$8,B62)&gt;0),"P61",IF(COUNTIF('Priority Rules'!$C$2:$C$9,A62)&gt;0,"P62",IF(AND(OR(ISNUMBER(SEARCH("Varadero",C62)),ISNUMBER(SEARCH("Cayo Coco",C62)),ISNUMBER(SEARCH("Cayo Santa María",C62)),ISNUMBER(SEARCH("Cayo Santa Maria",C62)),ISNUMBER(SEARCH("Cayo Guillermo",C62)),ISNUMBER(SEARCH("Cayo Las Brujas",C62)),ISNUMBER(SEARCH("Cayo Ensenachos",C62)),ISNUMBER(SEARCH("Holguín",C62)),ISNUMBER(SEARCH("Holguin",C62)),ISNUMBER(SEARCH("Havana",C62)),ISNUMBER(SEARCH("Old Havana",C62)),ISNUMBER(SEARCH("Vedado",C62)),ISNUMBER(SEARCH("Miramar",C62))),NOT(ISNUMBER(SEARCH("historical",F62)))),"P62",IF(OR(ISNUMBER(SEARCH("historical",F62)),H62="Low",ISNUMBER(SEARCH("to verify",F62)),ISNUMBER(SEARCH("requires verification",F62))),"Backlog","P63")))))</f>
        <v>Backlog</v>
      </c>
      <c r="M62" s="3"/>
      <c r="N62" s="3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" t="s">
        <v>547</v>
      </c>
      <c r="B63" s="3"/>
      <c r="C63" s="3" t="s">
        <v>370</v>
      </c>
      <c r="D63" s="3" t="s">
        <v>40</v>
      </c>
      <c r="E63" s="3"/>
      <c r="F63" s="3" t="s">
        <v>44</v>
      </c>
      <c r="G63" s="3" t="s">
        <v>46</v>
      </c>
      <c r="H63" s="3" t="s">
        <v>48</v>
      </c>
      <c r="I63" s="3" t="s">
        <v>51</v>
      </c>
      <c r="J63" s="3"/>
      <c r="K63" s="3" t="s">
        <v>53</v>
      </c>
      <c r="L63" s="3" t="str">
        <f>IF(A63="","",IF(OR(COUNTIF('Priority Rules'!$A$2:$A$24,A63)&gt;0,COUNTIF('Priority Rules'!$B$2:$B$8,B63)&gt;0),"P62",IF(COUNTIF('Priority Rules'!$C$2:$C$9,A63)&gt;0,"P63",IF(AND(OR(ISNUMBER(SEARCH("Varadero",C63)),ISNUMBER(SEARCH("Cayo Coco",C63)),ISNUMBER(SEARCH("Cayo Santa María",C63)),ISNUMBER(SEARCH("Cayo Santa Maria",C63)),ISNUMBER(SEARCH("Cayo Guillermo",C63)),ISNUMBER(SEARCH("Cayo Las Brujas",C63)),ISNUMBER(SEARCH("Cayo Ensenachos",C63)),ISNUMBER(SEARCH("Holguín",C63)),ISNUMBER(SEARCH("Holguin",C63)),ISNUMBER(SEARCH("Havana",C63)),ISNUMBER(SEARCH("Old Havana",C63)),ISNUMBER(SEARCH("Vedado",C63)),ISNUMBER(SEARCH("Miramar",C63))),NOT(ISNUMBER(SEARCH("historical",F63)))),"P63",IF(OR(ISNUMBER(SEARCH("historical",F63)),H63="Low",ISNUMBER(SEARCH("to verify",F63)),ISNUMBER(SEARCH("requires verification",F63))),"Backlog","P64")))))</f>
        <v>Backlog</v>
      </c>
      <c r="M63" s="3"/>
      <c r="N63" s="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" t="s">
        <v>548</v>
      </c>
      <c r="B64" s="3"/>
      <c r="C64" s="3" t="s">
        <v>549</v>
      </c>
      <c r="D64" s="3" t="s">
        <v>207</v>
      </c>
      <c r="E64" s="3"/>
      <c r="F64" s="3" t="s">
        <v>550</v>
      </c>
      <c r="G64" s="3" t="s">
        <v>46</v>
      </c>
      <c r="H64" s="3" t="s">
        <v>48</v>
      </c>
      <c r="I64" s="3" t="s">
        <v>51</v>
      </c>
      <c r="J64" s="3"/>
      <c r="K64" s="3" t="s">
        <v>53</v>
      </c>
      <c r="L64" s="3" t="str">
        <f>IF(A64="","",IF(OR(COUNTIF('Priority Rules'!$A$2:$A$24,A64)&gt;0,COUNTIF('Priority Rules'!$B$2:$B$8,B64)&gt;0),"P63",IF(COUNTIF('Priority Rules'!$C$2:$C$9,A64)&gt;0,"P64",IF(AND(OR(ISNUMBER(SEARCH("Varadero",C64)),ISNUMBER(SEARCH("Cayo Coco",C64)),ISNUMBER(SEARCH("Cayo Santa María",C64)),ISNUMBER(SEARCH("Cayo Santa Maria",C64)),ISNUMBER(SEARCH("Cayo Guillermo",C64)),ISNUMBER(SEARCH("Cayo Las Brujas",C64)),ISNUMBER(SEARCH("Cayo Ensenachos",C64)),ISNUMBER(SEARCH("Holguín",C64)),ISNUMBER(SEARCH("Holguin",C64)),ISNUMBER(SEARCH("Havana",C64)),ISNUMBER(SEARCH("Old Havana",C64)),ISNUMBER(SEARCH("Vedado",C64)),ISNUMBER(SEARCH("Miramar",C64))),NOT(ISNUMBER(SEARCH("historical",F64)))),"P64",IF(OR(ISNUMBER(SEARCH("historical",F64)),H64="Low",ISNUMBER(SEARCH("to verify",F64)),ISNUMBER(SEARCH("requires verification",F64))),"Backlog","P65")))))</f>
        <v>Backlog</v>
      </c>
      <c r="M64" s="3"/>
      <c r="N64" s="3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" t="s">
        <v>551</v>
      </c>
      <c r="B65" s="3"/>
      <c r="C65" s="3" t="s">
        <v>88</v>
      </c>
      <c r="D65" s="3" t="s">
        <v>135</v>
      </c>
      <c r="E65" s="3"/>
      <c r="F65" s="3" t="s">
        <v>550</v>
      </c>
      <c r="G65" s="3" t="s">
        <v>46</v>
      </c>
      <c r="H65" s="3" t="s">
        <v>48</v>
      </c>
      <c r="I65" s="3" t="s">
        <v>51</v>
      </c>
      <c r="J65" s="3"/>
      <c r="K65" s="3" t="s">
        <v>53</v>
      </c>
      <c r="L65" s="3" t="str">
        <f>IF(A65="","",IF(OR(COUNTIF('Priority Rules'!$A$2:$A$24,A65)&gt;0,COUNTIF('Priority Rules'!$B$2:$B$8,B65)&gt;0),"P64",IF(COUNTIF('Priority Rules'!$C$2:$C$9,A65)&gt;0,"P65",IF(AND(OR(ISNUMBER(SEARCH("Varadero",C65)),ISNUMBER(SEARCH("Cayo Coco",C65)),ISNUMBER(SEARCH("Cayo Santa María",C65)),ISNUMBER(SEARCH("Cayo Santa Maria",C65)),ISNUMBER(SEARCH("Cayo Guillermo",C65)),ISNUMBER(SEARCH("Cayo Las Brujas",C65)),ISNUMBER(SEARCH("Cayo Ensenachos",C65)),ISNUMBER(SEARCH("Holguín",C65)),ISNUMBER(SEARCH("Holguin",C65)),ISNUMBER(SEARCH("Havana",C65)),ISNUMBER(SEARCH("Old Havana",C65)),ISNUMBER(SEARCH("Vedado",C65)),ISNUMBER(SEARCH("Miramar",C65))),NOT(ISNUMBER(SEARCH("historical",F65)))),"P65",IF(OR(ISNUMBER(SEARCH("historical",F65)),H65="Low",ISNUMBER(SEARCH("to verify",F65)),ISNUMBER(SEARCH("requires verification",F65))),"Backlog","P66")))))</f>
        <v>Backlog</v>
      </c>
      <c r="M65" s="3"/>
      <c r="N65" s="3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" t="s">
        <v>552</v>
      </c>
      <c r="B66" s="3"/>
      <c r="C66" s="3" t="s">
        <v>37</v>
      </c>
      <c r="D66" s="3" t="s">
        <v>553</v>
      </c>
      <c r="E66" s="3" t="s">
        <v>210</v>
      </c>
      <c r="F66" s="3" t="s">
        <v>550</v>
      </c>
      <c r="G66" s="3" t="s">
        <v>46</v>
      </c>
      <c r="H66" s="3" t="s">
        <v>48</v>
      </c>
      <c r="I66" s="3" t="s">
        <v>51</v>
      </c>
      <c r="J66" s="3"/>
      <c r="K66" s="3" t="s">
        <v>53</v>
      </c>
      <c r="L66" s="3" t="str">
        <f>IF(A66="","",IF(OR(COUNTIF('Priority Rules'!$A$2:$A$24,A66)&gt;0,COUNTIF('Priority Rules'!$B$2:$B$8,B66)&gt;0),"P65",IF(COUNTIF('Priority Rules'!$C$2:$C$9,A66)&gt;0,"P66",IF(AND(OR(ISNUMBER(SEARCH("Varadero",C66)),ISNUMBER(SEARCH("Cayo Coco",C66)),ISNUMBER(SEARCH("Cayo Santa María",C66)),ISNUMBER(SEARCH("Cayo Santa Maria",C66)),ISNUMBER(SEARCH("Cayo Guillermo",C66)),ISNUMBER(SEARCH("Cayo Las Brujas",C66)),ISNUMBER(SEARCH("Cayo Ensenachos",C66)),ISNUMBER(SEARCH("Holguín",C66)),ISNUMBER(SEARCH("Holguin",C66)),ISNUMBER(SEARCH("Havana",C66)),ISNUMBER(SEARCH("Old Havana",C66)),ISNUMBER(SEARCH("Vedado",C66)),ISNUMBER(SEARCH("Miramar",C66))),NOT(ISNUMBER(SEARCH("historical",F66)))),"P66",IF(OR(ISNUMBER(SEARCH("historical",F66)),H66="Low",ISNUMBER(SEARCH("to verify",F66)),ISNUMBER(SEARCH("requires verification",F66))),"Backlog","P67")))))</f>
        <v>P66</v>
      </c>
      <c r="M66" s="3"/>
      <c r="N66" s="3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" t="s">
        <v>554</v>
      </c>
      <c r="B67" s="3"/>
      <c r="C67" s="3" t="s">
        <v>37</v>
      </c>
      <c r="D67" s="3" t="s">
        <v>553</v>
      </c>
      <c r="E67" s="3" t="s">
        <v>210</v>
      </c>
      <c r="F67" s="3" t="s">
        <v>550</v>
      </c>
      <c r="G67" s="3" t="s">
        <v>46</v>
      </c>
      <c r="H67" s="3" t="s">
        <v>48</v>
      </c>
      <c r="I67" s="3" t="s">
        <v>51</v>
      </c>
      <c r="J67" s="3"/>
      <c r="K67" s="3" t="s">
        <v>53</v>
      </c>
      <c r="L67" s="3" t="str">
        <f>IF(A67="","",IF(OR(COUNTIF('Priority Rules'!$A$2:$A$24,A67)&gt;0,COUNTIF('Priority Rules'!$B$2:$B$8,B67)&gt;0),"P66",IF(COUNTIF('Priority Rules'!$C$2:$C$9,A67)&gt;0,"P67",IF(AND(OR(ISNUMBER(SEARCH("Varadero",C67)),ISNUMBER(SEARCH("Cayo Coco",C67)),ISNUMBER(SEARCH("Cayo Santa María",C67)),ISNUMBER(SEARCH("Cayo Santa Maria",C67)),ISNUMBER(SEARCH("Cayo Guillermo",C67)),ISNUMBER(SEARCH("Cayo Las Brujas",C67)),ISNUMBER(SEARCH("Cayo Ensenachos",C67)),ISNUMBER(SEARCH("Holguín",C67)),ISNUMBER(SEARCH("Holguin",C67)),ISNUMBER(SEARCH("Havana",C67)),ISNUMBER(SEARCH("Old Havana",C67)),ISNUMBER(SEARCH("Vedado",C67)),ISNUMBER(SEARCH("Miramar",C67))),NOT(ISNUMBER(SEARCH("historical",F67)))),"P67",IF(OR(ISNUMBER(SEARCH("historical",F67)),H67="Low",ISNUMBER(SEARCH("to verify",F67)),ISNUMBER(SEARCH("requires verification",F67))),"Backlog","P68")))))</f>
        <v>P67</v>
      </c>
      <c r="M67" s="3"/>
      <c r="N67" s="3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" t="s">
        <v>555</v>
      </c>
      <c r="B68" s="3"/>
      <c r="C68" s="3" t="s">
        <v>39</v>
      </c>
      <c r="D68" s="3" t="s">
        <v>553</v>
      </c>
      <c r="E68" s="3" t="s">
        <v>210</v>
      </c>
      <c r="F68" s="3" t="s">
        <v>550</v>
      </c>
      <c r="G68" s="3" t="s">
        <v>46</v>
      </c>
      <c r="H68" s="3" t="s">
        <v>48</v>
      </c>
      <c r="I68" s="3" t="s">
        <v>51</v>
      </c>
      <c r="J68" s="3"/>
      <c r="K68" s="3" t="s">
        <v>53</v>
      </c>
      <c r="L68" s="3" t="str">
        <f>IF(A68="","",IF(OR(COUNTIF('Priority Rules'!$A$2:$A$24,A68)&gt;0,COUNTIF('Priority Rules'!$B$2:$B$8,B68)&gt;0),"P67",IF(COUNTIF('Priority Rules'!$C$2:$C$9,A68)&gt;0,"P68",IF(AND(OR(ISNUMBER(SEARCH("Varadero",C68)),ISNUMBER(SEARCH("Cayo Coco",C68)),ISNUMBER(SEARCH("Cayo Santa María",C68)),ISNUMBER(SEARCH("Cayo Santa Maria",C68)),ISNUMBER(SEARCH("Cayo Guillermo",C68)),ISNUMBER(SEARCH("Cayo Las Brujas",C68)),ISNUMBER(SEARCH("Cayo Ensenachos",C68)),ISNUMBER(SEARCH("Holguín",C68)),ISNUMBER(SEARCH("Holguin",C68)),ISNUMBER(SEARCH("Havana",C68)),ISNUMBER(SEARCH("Old Havana",C68)),ISNUMBER(SEARCH("Vedado",C68)),ISNUMBER(SEARCH("Miramar",C68))),NOT(ISNUMBER(SEARCH("historical",F68)))),"P68",IF(OR(ISNUMBER(SEARCH("historical",F68)),H68="Low",ISNUMBER(SEARCH("to verify",F68)),ISNUMBER(SEARCH("requires verification",F68))),"Backlog","P69")))))</f>
        <v>P68</v>
      </c>
      <c r="M68" s="3"/>
      <c r="N68" s="3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" t="s">
        <v>556</v>
      </c>
      <c r="B69" s="3"/>
      <c r="C69" s="3" t="s">
        <v>39</v>
      </c>
      <c r="D69" s="3" t="s">
        <v>215</v>
      </c>
      <c r="E69" s="3" t="s">
        <v>557</v>
      </c>
      <c r="F69" s="3" t="s">
        <v>550</v>
      </c>
      <c r="G69" s="3" t="s">
        <v>46</v>
      </c>
      <c r="H69" s="3" t="s">
        <v>48</v>
      </c>
      <c r="I69" s="3" t="s">
        <v>51</v>
      </c>
      <c r="J69" s="3"/>
      <c r="K69" s="3" t="s">
        <v>53</v>
      </c>
      <c r="L69" s="3" t="str">
        <f>IF(A69="","",IF(OR(COUNTIF('Priority Rules'!$A$2:$A$24,A69)&gt;0,COUNTIF('Priority Rules'!$B$2:$B$8,B69)&gt;0),"P68",IF(COUNTIF('Priority Rules'!$C$2:$C$9,A69)&gt;0,"P69",IF(AND(OR(ISNUMBER(SEARCH("Varadero",C69)),ISNUMBER(SEARCH("Cayo Coco",C69)),ISNUMBER(SEARCH("Cayo Santa María",C69)),ISNUMBER(SEARCH("Cayo Santa Maria",C69)),ISNUMBER(SEARCH("Cayo Guillermo",C69)),ISNUMBER(SEARCH("Cayo Las Brujas",C69)),ISNUMBER(SEARCH("Cayo Ensenachos",C69)),ISNUMBER(SEARCH("Holguín",C69)),ISNUMBER(SEARCH("Holguin",C69)),ISNUMBER(SEARCH("Havana",C69)),ISNUMBER(SEARCH("Old Havana",C69)),ISNUMBER(SEARCH("Vedado",C69)),ISNUMBER(SEARCH("Miramar",C69))),NOT(ISNUMBER(SEARCH("historical",F69)))),"P69",IF(OR(ISNUMBER(SEARCH("historical",F69)),H69="Low",ISNUMBER(SEARCH("to verify",F69)),ISNUMBER(SEARCH("requires verification",F69))),"Backlog","P70")))))</f>
        <v>P69</v>
      </c>
      <c r="M69" s="3"/>
      <c r="N69" s="3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" t="s">
        <v>558</v>
      </c>
      <c r="B70" s="3"/>
      <c r="C70" s="3" t="s">
        <v>39</v>
      </c>
      <c r="D70" s="3" t="s">
        <v>215</v>
      </c>
      <c r="E70" s="3" t="s">
        <v>557</v>
      </c>
      <c r="F70" s="3" t="s">
        <v>550</v>
      </c>
      <c r="G70" s="3" t="s">
        <v>46</v>
      </c>
      <c r="H70" s="3" t="s">
        <v>48</v>
      </c>
      <c r="I70" s="3" t="s">
        <v>51</v>
      </c>
      <c r="J70" s="3"/>
      <c r="K70" s="3" t="s">
        <v>53</v>
      </c>
      <c r="L70" s="3" t="str">
        <f>IF(A70="","",IF(OR(COUNTIF('Priority Rules'!$A$2:$A$24,A70)&gt;0,COUNTIF('Priority Rules'!$B$2:$B$8,B70)&gt;0),"P69",IF(COUNTIF('Priority Rules'!$C$2:$C$9,A70)&gt;0,"P70",IF(AND(OR(ISNUMBER(SEARCH("Varadero",C70)),ISNUMBER(SEARCH("Cayo Coco",C70)),ISNUMBER(SEARCH("Cayo Santa María",C70)),ISNUMBER(SEARCH("Cayo Santa Maria",C70)),ISNUMBER(SEARCH("Cayo Guillermo",C70)),ISNUMBER(SEARCH("Cayo Las Brujas",C70)),ISNUMBER(SEARCH("Cayo Ensenachos",C70)),ISNUMBER(SEARCH("Holguín",C70)),ISNUMBER(SEARCH("Holguin",C70)),ISNUMBER(SEARCH("Havana",C70)),ISNUMBER(SEARCH("Old Havana",C70)),ISNUMBER(SEARCH("Vedado",C70)),ISNUMBER(SEARCH("Miramar",C70))),NOT(ISNUMBER(SEARCH("historical",F70)))),"P70",IF(OR(ISNUMBER(SEARCH("historical",F70)),H70="Low",ISNUMBER(SEARCH("to verify",F70)),ISNUMBER(SEARCH("requires verification",F70))),"Backlog","P71")))))</f>
        <v>P70</v>
      </c>
      <c r="M70" s="3"/>
      <c r="N70" s="3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" t="s">
        <v>559</v>
      </c>
      <c r="B71" s="3"/>
      <c r="C71" s="3" t="s">
        <v>37</v>
      </c>
      <c r="D71" s="3" t="s">
        <v>215</v>
      </c>
      <c r="E71" s="3" t="s">
        <v>557</v>
      </c>
      <c r="F71" s="3" t="s">
        <v>550</v>
      </c>
      <c r="G71" s="3" t="s">
        <v>46</v>
      </c>
      <c r="H71" s="3" t="s">
        <v>48</v>
      </c>
      <c r="I71" s="3" t="s">
        <v>51</v>
      </c>
      <c r="J71" s="3"/>
      <c r="K71" s="3" t="s">
        <v>53</v>
      </c>
      <c r="L71" s="3" t="str">
        <f>IF(A71="","",IF(OR(COUNTIF('Priority Rules'!$A$2:$A$24,A71)&gt;0,COUNTIF('Priority Rules'!$B$2:$B$8,B71)&gt;0),"P70",IF(COUNTIF('Priority Rules'!$C$2:$C$9,A71)&gt;0,"P71",IF(AND(OR(ISNUMBER(SEARCH("Varadero",C71)),ISNUMBER(SEARCH("Cayo Coco",C71)),ISNUMBER(SEARCH("Cayo Santa María",C71)),ISNUMBER(SEARCH("Cayo Santa Maria",C71)),ISNUMBER(SEARCH("Cayo Guillermo",C71)),ISNUMBER(SEARCH("Cayo Las Brujas",C71)),ISNUMBER(SEARCH("Cayo Ensenachos",C71)),ISNUMBER(SEARCH("Holguín",C71)),ISNUMBER(SEARCH("Holguin",C71)),ISNUMBER(SEARCH("Havana",C71)),ISNUMBER(SEARCH("Old Havana",C71)),ISNUMBER(SEARCH("Vedado",C71)),ISNUMBER(SEARCH("Miramar",C71))),NOT(ISNUMBER(SEARCH("historical",F71)))),"P71",IF(OR(ISNUMBER(SEARCH("historical",F71)),H71="Low",ISNUMBER(SEARCH("to verify",F71)),ISNUMBER(SEARCH("requires verification",F71))),"Backlog","P72")))))</f>
        <v>P71</v>
      </c>
      <c r="M71" s="3"/>
      <c r="N71" s="3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" t="s">
        <v>560</v>
      </c>
      <c r="B72" s="3"/>
      <c r="C72" s="3" t="s">
        <v>39</v>
      </c>
      <c r="D72" s="3" t="s">
        <v>561</v>
      </c>
      <c r="E72" s="3" t="s">
        <v>562</v>
      </c>
      <c r="F72" s="3" t="s">
        <v>550</v>
      </c>
      <c r="G72" s="3" t="s">
        <v>46</v>
      </c>
      <c r="H72" s="3" t="s">
        <v>48</v>
      </c>
      <c r="I72" s="3" t="s">
        <v>51</v>
      </c>
      <c r="J72" s="3"/>
      <c r="K72" s="3" t="s">
        <v>53</v>
      </c>
      <c r="L72" s="3" t="str">
        <f>IF(A72="","",IF(OR(COUNTIF('Priority Rules'!$A$2:$A$24,A72)&gt;0,COUNTIF('Priority Rules'!$B$2:$B$8,B72)&gt;0),"P71",IF(COUNTIF('Priority Rules'!$C$2:$C$9,A72)&gt;0,"P72",IF(AND(OR(ISNUMBER(SEARCH("Varadero",C72)),ISNUMBER(SEARCH("Cayo Coco",C72)),ISNUMBER(SEARCH("Cayo Santa María",C72)),ISNUMBER(SEARCH("Cayo Santa Maria",C72)),ISNUMBER(SEARCH("Cayo Guillermo",C72)),ISNUMBER(SEARCH("Cayo Las Brujas",C72)),ISNUMBER(SEARCH("Cayo Ensenachos",C72)),ISNUMBER(SEARCH("Holguín",C72)),ISNUMBER(SEARCH("Holguin",C72)),ISNUMBER(SEARCH("Havana",C72)),ISNUMBER(SEARCH("Old Havana",C72)),ISNUMBER(SEARCH("Vedado",C72)),ISNUMBER(SEARCH("Miramar",C72))),NOT(ISNUMBER(SEARCH("historical",F72)))),"P72",IF(OR(ISNUMBER(SEARCH("historical",F72)),H72="Low",ISNUMBER(SEARCH("to verify",F72)),ISNUMBER(SEARCH("requires verification",F72))),"Backlog","P73")))))</f>
        <v>P72</v>
      </c>
      <c r="M72" s="3"/>
      <c r="N72" s="3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" t="s">
        <v>563</v>
      </c>
      <c r="B73" s="3"/>
      <c r="C73" s="3" t="s">
        <v>39</v>
      </c>
      <c r="D73" s="3" t="s">
        <v>562</v>
      </c>
      <c r="E73" s="3" t="s">
        <v>562</v>
      </c>
      <c r="F73" s="3" t="s">
        <v>550</v>
      </c>
      <c r="G73" s="3" t="s">
        <v>46</v>
      </c>
      <c r="H73" s="3" t="s">
        <v>48</v>
      </c>
      <c r="I73" s="3" t="s">
        <v>51</v>
      </c>
      <c r="J73" s="3"/>
      <c r="K73" s="3" t="s">
        <v>53</v>
      </c>
      <c r="L73" s="3" t="str">
        <f>IF(A73="","",IF(OR(COUNTIF('Priority Rules'!$A$2:$A$24,A73)&gt;0,COUNTIF('Priority Rules'!$B$2:$B$8,B73)&gt;0),"P72",IF(COUNTIF('Priority Rules'!$C$2:$C$9,A73)&gt;0,"P73",IF(AND(OR(ISNUMBER(SEARCH("Varadero",C73)),ISNUMBER(SEARCH("Cayo Coco",C73)),ISNUMBER(SEARCH("Cayo Santa María",C73)),ISNUMBER(SEARCH("Cayo Santa Maria",C73)),ISNUMBER(SEARCH("Cayo Guillermo",C73)),ISNUMBER(SEARCH("Cayo Las Brujas",C73)),ISNUMBER(SEARCH("Cayo Ensenachos",C73)),ISNUMBER(SEARCH("Holguín",C73)),ISNUMBER(SEARCH("Holguin",C73)),ISNUMBER(SEARCH("Havana",C73)),ISNUMBER(SEARCH("Old Havana",C73)),ISNUMBER(SEARCH("Vedado",C73)),ISNUMBER(SEARCH("Miramar",C73))),NOT(ISNUMBER(SEARCH("historical",F73)))),"P73",IF(OR(ISNUMBER(SEARCH("historical",F73)),H73="Low",ISNUMBER(SEARCH("to verify",F73)),ISNUMBER(SEARCH("requires verification",F73))),"Backlog","P74")))))</f>
        <v>P73</v>
      </c>
      <c r="M73" s="3"/>
      <c r="N73" s="3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" t="s">
        <v>564</v>
      </c>
      <c r="B74" s="3"/>
      <c r="C74" s="3" t="s">
        <v>508</v>
      </c>
      <c r="D74" s="3" t="s">
        <v>562</v>
      </c>
      <c r="E74" s="3" t="s">
        <v>562</v>
      </c>
      <c r="F74" s="3" t="s">
        <v>550</v>
      </c>
      <c r="G74" s="3" t="s">
        <v>46</v>
      </c>
      <c r="H74" s="3" t="s">
        <v>48</v>
      </c>
      <c r="I74" s="3" t="s">
        <v>51</v>
      </c>
      <c r="J74" s="3"/>
      <c r="K74" s="3" t="s">
        <v>53</v>
      </c>
      <c r="L74" s="3" t="str">
        <f>IF(A74="","",IF(OR(COUNTIF('Priority Rules'!$A$2:$A$24,A74)&gt;0,COUNTIF('Priority Rules'!$B$2:$B$8,B74)&gt;0),"P73",IF(COUNTIF('Priority Rules'!$C$2:$C$9,A74)&gt;0,"P74",IF(AND(OR(ISNUMBER(SEARCH("Varadero",C74)),ISNUMBER(SEARCH("Cayo Coco",C74)),ISNUMBER(SEARCH("Cayo Santa María",C74)),ISNUMBER(SEARCH("Cayo Santa Maria",C74)),ISNUMBER(SEARCH("Cayo Guillermo",C74)),ISNUMBER(SEARCH("Cayo Las Brujas",C74)),ISNUMBER(SEARCH("Cayo Ensenachos",C74)),ISNUMBER(SEARCH("Holguín",C74)),ISNUMBER(SEARCH("Holguin",C74)),ISNUMBER(SEARCH("Havana",C74)),ISNUMBER(SEARCH("Old Havana",C74)),ISNUMBER(SEARCH("Vedado",C74)),ISNUMBER(SEARCH("Miramar",C74))),NOT(ISNUMBER(SEARCH("historical",F74)))),"P74",IF(OR(ISNUMBER(SEARCH("historical",F74)),H74="Low",ISNUMBER(SEARCH("to verify",F74)),ISNUMBER(SEARCH("requires verification",F74))),"Backlog","P75")))))</f>
        <v>Backlog</v>
      </c>
      <c r="M74" s="3"/>
      <c r="N74" s="3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" t="s">
        <v>565</v>
      </c>
      <c r="B75" s="3"/>
      <c r="C75" s="3" t="s">
        <v>39</v>
      </c>
      <c r="D75" s="3" t="s">
        <v>562</v>
      </c>
      <c r="E75" s="3" t="s">
        <v>562</v>
      </c>
      <c r="F75" s="3" t="s">
        <v>550</v>
      </c>
      <c r="G75" s="3" t="s">
        <v>46</v>
      </c>
      <c r="H75" s="3" t="s">
        <v>48</v>
      </c>
      <c r="I75" s="3" t="s">
        <v>51</v>
      </c>
      <c r="J75" s="3"/>
      <c r="K75" s="3" t="s">
        <v>53</v>
      </c>
      <c r="L75" s="3" t="str">
        <f>IF(A75="","",IF(OR(COUNTIF('Priority Rules'!$A$2:$A$24,A75)&gt;0,COUNTIF('Priority Rules'!$B$2:$B$8,B75)&gt;0),"P74",IF(COUNTIF('Priority Rules'!$C$2:$C$9,A75)&gt;0,"P75",IF(AND(OR(ISNUMBER(SEARCH("Varadero",C75)),ISNUMBER(SEARCH("Cayo Coco",C75)),ISNUMBER(SEARCH("Cayo Santa María",C75)),ISNUMBER(SEARCH("Cayo Santa Maria",C75)),ISNUMBER(SEARCH("Cayo Guillermo",C75)),ISNUMBER(SEARCH("Cayo Las Brujas",C75)),ISNUMBER(SEARCH("Cayo Ensenachos",C75)),ISNUMBER(SEARCH("Holguín",C75)),ISNUMBER(SEARCH("Holguin",C75)),ISNUMBER(SEARCH("Havana",C75)),ISNUMBER(SEARCH("Old Havana",C75)),ISNUMBER(SEARCH("Vedado",C75)),ISNUMBER(SEARCH("Miramar",C75))),NOT(ISNUMBER(SEARCH("historical",F75)))),"P75",IF(OR(ISNUMBER(SEARCH("historical",F75)),H75="Low",ISNUMBER(SEARCH("to verify",F75)),ISNUMBER(SEARCH("requires verification",F75))),"Backlog","P76")))))</f>
        <v>P75</v>
      </c>
      <c r="M75" s="3"/>
      <c r="N75" s="3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" t="s">
        <v>230</v>
      </c>
      <c r="B76" s="3"/>
      <c r="C76" s="3" t="s">
        <v>566</v>
      </c>
      <c r="D76" s="3" t="s">
        <v>567</v>
      </c>
      <c r="E76" s="3"/>
      <c r="F76" s="3" t="s">
        <v>550</v>
      </c>
      <c r="G76" s="3" t="s">
        <v>46</v>
      </c>
      <c r="H76" s="3" t="s">
        <v>48</v>
      </c>
      <c r="I76" s="3" t="s">
        <v>51</v>
      </c>
      <c r="J76" s="3"/>
      <c r="K76" s="3" t="s">
        <v>53</v>
      </c>
      <c r="L76" s="3" t="str">
        <f>IF(A76="","",IF(OR(COUNTIF('Priority Rules'!$A$2:$A$24,A76)&gt;0,COUNTIF('Priority Rules'!$B$2:$B$8,B76)&gt;0),"P75",IF(COUNTIF('Priority Rules'!$C$2:$C$9,A76)&gt;0,"P76",IF(AND(OR(ISNUMBER(SEARCH("Varadero",C76)),ISNUMBER(SEARCH("Cayo Coco",C76)),ISNUMBER(SEARCH("Cayo Santa María",C76)),ISNUMBER(SEARCH("Cayo Santa Maria",C76)),ISNUMBER(SEARCH("Cayo Guillermo",C76)),ISNUMBER(SEARCH("Cayo Las Brujas",C76)),ISNUMBER(SEARCH("Cayo Ensenachos",C76)),ISNUMBER(SEARCH("Holguín",C76)),ISNUMBER(SEARCH("Holguin",C76)),ISNUMBER(SEARCH("Havana",C76)),ISNUMBER(SEARCH("Old Havana",C76)),ISNUMBER(SEARCH("Vedado",C76)),ISNUMBER(SEARCH("Miramar",C76))),NOT(ISNUMBER(SEARCH("historical",F76)))),"P76",IF(OR(ISNUMBER(SEARCH("historical",F76)),H76="Low",ISNUMBER(SEARCH("to verify",F76)),ISNUMBER(SEARCH("requires verification",F76))),"Backlog","P77")))))</f>
        <v>P76</v>
      </c>
      <c r="M76" s="3"/>
      <c r="N76" s="3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" t="s">
        <v>279</v>
      </c>
      <c r="B77" s="3"/>
      <c r="C77" s="3" t="s">
        <v>37</v>
      </c>
      <c r="D77" s="3" t="s">
        <v>135</v>
      </c>
      <c r="E77" s="3"/>
      <c r="F77" s="3" t="s">
        <v>568</v>
      </c>
      <c r="G77" s="3" t="s">
        <v>61</v>
      </c>
      <c r="H77" s="3" t="s">
        <v>180</v>
      </c>
      <c r="I77" s="3" t="s">
        <v>569</v>
      </c>
      <c r="J77" s="3" t="s">
        <v>281</v>
      </c>
      <c r="K77" s="3" t="s">
        <v>570</v>
      </c>
      <c r="L77" s="3" t="str">
        <f>IF(A77="","",IF(OR(COUNTIF('Priority Rules'!$A$2:$A$24,A77)&gt;0,COUNTIF('Priority Rules'!$B$2:$B$8,B77)&gt;0),"P76",IF(COUNTIF('Priority Rules'!$C$2:$C$9,A77)&gt;0,"P77",IF(AND(OR(ISNUMBER(SEARCH("Varadero",C77)),ISNUMBER(SEARCH("Cayo Coco",C77)),ISNUMBER(SEARCH("Cayo Santa María",C77)),ISNUMBER(SEARCH("Cayo Santa Maria",C77)),ISNUMBER(SEARCH("Cayo Guillermo",C77)),ISNUMBER(SEARCH("Cayo Las Brujas",C77)),ISNUMBER(SEARCH("Cayo Ensenachos",C77)),ISNUMBER(SEARCH("Holguín",C77)),ISNUMBER(SEARCH("Holguin",C77)),ISNUMBER(SEARCH("Havana",C77)),ISNUMBER(SEARCH("Old Havana",C77)),ISNUMBER(SEARCH("Vedado",C77)),ISNUMBER(SEARCH("Miramar",C77))),NOT(ISNUMBER(SEARCH("historical",F77)))),"P77",IF(OR(ISNUMBER(SEARCH("historical",F77)),H77="Low",ISNUMBER(SEARCH("to verify",F77)),ISNUMBER(SEARCH("requires verification",F77))),"Backlog","P78")))))</f>
        <v>P77</v>
      </c>
      <c r="M77" s="3"/>
      <c r="N77" s="3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" t="s">
        <v>284</v>
      </c>
      <c r="B78" s="3"/>
      <c r="C78" s="3" t="s">
        <v>37</v>
      </c>
      <c r="D78" s="3" t="s">
        <v>135</v>
      </c>
      <c r="E78" s="3"/>
      <c r="F78" s="3" t="s">
        <v>568</v>
      </c>
      <c r="G78" s="3" t="s">
        <v>61</v>
      </c>
      <c r="H78" s="3" t="s">
        <v>180</v>
      </c>
      <c r="I78" s="3" t="s">
        <v>569</v>
      </c>
      <c r="J78" s="3" t="s">
        <v>281</v>
      </c>
      <c r="K78" s="3" t="s">
        <v>570</v>
      </c>
      <c r="L78" s="3" t="str">
        <f>IF(A78="","",IF(OR(COUNTIF('Priority Rules'!$A$2:$A$24,A78)&gt;0,COUNTIF('Priority Rules'!$B$2:$B$8,B78)&gt;0),"P77",IF(COUNTIF('Priority Rules'!$C$2:$C$9,A78)&gt;0,"P78",IF(AND(OR(ISNUMBER(SEARCH("Varadero",C78)),ISNUMBER(SEARCH("Cayo Coco",C78)),ISNUMBER(SEARCH("Cayo Santa María",C78)),ISNUMBER(SEARCH("Cayo Santa Maria",C78)),ISNUMBER(SEARCH("Cayo Guillermo",C78)),ISNUMBER(SEARCH("Cayo Las Brujas",C78)),ISNUMBER(SEARCH("Cayo Ensenachos",C78)),ISNUMBER(SEARCH("Holguín",C78)),ISNUMBER(SEARCH("Holguin",C78)),ISNUMBER(SEARCH("Havana",C78)),ISNUMBER(SEARCH("Old Havana",C78)),ISNUMBER(SEARCH("Vedado",C78)),ISNUMBER(SEARCH("Miramar",C78))),NOT(ISNUMBER(SEARCH("historical",F78)))),"P78",IF(OR(ISNUMBER(SEARCH("historical",F78)),H78="Low",ISNUMBER(SEARCH("to verify",F78)),ISNUMBER(SEARCH("requires verification",F78))),"Backlog","P79")))))</f>
        <v>P78</v>
      </c>
      <c r="M78" s="3"/>
      <c r="N78" s="3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" t="s">
        <v>286</v>
      </c>
      <c r="B79" s="3"/>
      <c r="C79" s="3" t="s">
        <v>287</v>
      </c>
      <c r="D79" s="3" t="s">
        <v>135</v>
      </c>
      <c r="E79" s="3"/>
      <c r="F79" s="3" t="s">
        <v>568</v>
      </c>
      <c r="G79" s="3" t="s">
        <v>61</v>
      </c>
      <c r="H79" s="3" t="s">
        <v>180</v>
      </c>
      <c r="I79" s="3" t="s">
        <v>569</v>
      </c>
      <c r="J79" s="3" t="s">
        <v>281</v>
      </c>
      <c r="K79" s="3" t="s">
        <v>570</v>
      </c>
      <c r="L79" s="3" t="str">
        <f>IF(A79="","",IF(OR(COUNTIF('Priority Rules'!$A$2:$A$24,A79)&gt;0,COUNTIF('Priority Rules'!$B$2:$B$8,B79)&gt;0),"P78",IF(COUNTIF('Priority Rules'!$C$2:$C$9,A79)&gt;0,"P79",IF(AND(OR(ISNUMBER(SEARCH("Varadero",C79)),ISNUMBER(SEARCH("Cayo Coco",C79)),ISNUMBER(SEARCH("Cayo Santa María",C79)),ISNUMBER(SEARCH("Cayo Santa Maria",C79)),ISNUMBER(SEARCH("Cayo Guillermo",C79)),ISNUMBER(SEARCH("Cayo Las Brujas",C79)),ISNUMBER(SEARCH("Cayo Ensenachos",C79)),ISNUMBER(SEARCH("Holguín",C79)),ISNUMBER(SEARCH("Holguin",C79)),ISNUMBER(SEARCH("Havana",C79)),ISNUMBER(SEARCH("Old Havana",C79)),ISNUMBER(SEARCH("Vedado",C79)),ISNUMBER(SEARCH("Miramar",C79))),NOT(ISNUMBER(SEARCH("historical",F79)))),"P79",IF(OR(ISNUMBER(SEARCH("historical",F79)),H79="Low",ISNUMBER(SEARCH("to verify",F79)),ISNUMBER(SEARCH("requires verification",F79))),"Backlog","P80")))))</f>
        <v>P79</v>
      </c>
      <c r="M79" s="3"/>
      <c r="N79" s="3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" t="s">
        <v>288</v>
      </c>
      <c r="B80" s="3"/>
      <c r="C80" s="3" t="s">
        <v>287</v>
      </c>
      <c r="D80" s="3" t="s">
        <v>289</v>
      </c>
      <c r="E80" s="3"/>
      <c r="F80" s="3" t="s">
        <v>568</v>
      </c>
      <c r="G80" s="3" t="s">
        <v>61</v>
      </c>
      <c r="H80" s="3" t="s">
        <v>180</v>
      </c>
      <c r="I80" s="3" t="s">
        <v>569</v>
      </c>
      <c r="J80" s="3" t="s">
        <v>281</v>
      </c>
      <c r="K80" s="3" t="s">
        <v>570</v>
      </c>
      <c r="L80" s="3" t="str">
        <f>IF(A80="","",IF(OR(COUNTIF('Priority Rules'!$A$2:$A$24,A80)&gt;0,COUNTIF('Priority Rules'!$B$2:$B$8,B80)&gt;0),"P79",IF(COUNTIF('Priority Rules'!$C$2:$C$9,A80)&gt;0,"P80",IF(AND(OR(ISNUMBER(SEARCH("Varadero",C80)),ISNUMBER(SEARCH("Cayo Coco",C80)),ISNUMBER(SEARCH("Cayo Santa María",C80)),ISNUMBER(SEARCH("Cayo Santa Maria",C80)),ISNUMBER(SEARCH("Cayo Guillermo",C80)),ISNUMBER(SEARCH("Cayo Las Brujas",C80)),ISNUMBER(SEARCH("Cayo Ensenachos",C80)),ISNUMBER(SEARCH("Holguín",C80)),ISNUMBER(SEARCH("Holguin",C80)),ISNUMBER(SEARCH("Havana",C80)),ISNUMBER(SEARCH("Old Havana",C80)),ISNUMBER(SEARCH("Vedado",C80)),ISNUMBER(SEARCH("Miramar",C80))),NOT(ISNUMBER(SEARCH("historical",F80)))),"P80",IF(OR(ISNUMBER(SEARCH("historical",F80)),H80="Low",ISNUMBER(SEARCH("to verify",F80)),ISNUMBER(SEARCH("requires verification",F80))),"Backlog","P81")))))</f>
        <v>P80</v>
      </c>
      <c r="M80" s="3"/>
      <c r="N80" s="3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" t="s">
        <v>291</v>
      </c>
      <c r="B81" s="3"/>
      <c r="C81" s="3" t="s">
        <v>37</v>
      </c>
      <c r="D81" s="3" t="s">
        <v>292</v>
      </c>
      <c r="E81" s="3"/>
      <c r="F81" s="3" t="s">
        <v>568</v>
      </c>
      <c r="G81" s="3" t="s">
        <v>61</v>
      </c>
      <c r="H81" s="3" t="s">
        <v>180</v>
      </c>
      <c r="I81" s="3" t="s">
        <v>569</v>
      </c>
      <c r="J81" s="3" t="s">
        <v>281</v>
      </c>
      <c r="K81" s="3" t="s">
        <v>570</v>
      </c>
      <c r="L81" s="3" t="str">
        <f>IF(A81="","",IF(OR(COUNTIF('Priority Rules'!$A$2:$A$24,A81)&gt;0,COUNTIF('Priority Rules'!$B$2:$B$8,B81)&gt;0),"P80",IF(COUNTIF('Priority Rules'!$C$2:$C$9,A81)&gt;0,"P81",IF(AND(OR(ISNUMBER(SEARCH("Varadero",C81)),ISNUMBER(SEARCH("Cayo Coco",C81)),ISNUMBER(SEARCH("Cayo Santa María",C81)),ISNUMBER(SEARCH("Cayo Santa Maria",C81)),ISNUMBER(SEARCH("Cayo Guillermo",C81)),ISNUMBER(SEARCH("Cayo Las Brujas",C81)),ISNUMBER(SEARCH("Cayo Ensenachos",C81)),ISNUMBER(SEARCH("Holguín",C81)),ISNUMBER(SEARCH("Holguin",C81)),ISNUMBER(SEARCH("Havana",C81)),ISNUMBER(SEARCH("Old Havana",C81)),ISNUMBER(SEARCH("Vedado",C81)),ISNUMBER(SEARCH("Miramar",C81))),NOT(ISNUMBER(SEARCH("historical",F81)))),"P81",IF(OR(ISNUMBER(SEARCH("historical",F81)),H81="Low",ISNUMBER(SEARCH("to verify",F81)),ISNUMBER(SEARCH("requires verification",F81))),"Backlog","P82")))))</f>
        <v>P81</v>
      </c>
      <c r="M81" s="3"/>
      <c r="N81" s="3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" t="s">
        <v>293</v>
      </c>
      <c r="B82" s="3"/>
      <c r="C82" s="3" t="s">
        <v>55</v>
      </c>
      <c r="D82" s="3" t="s">
        <v>151</v>
      </c>
      <c r="E82" s="3"/>
      <c r="F82" s="3" t="s">
        <v>568</v>
      </c>
      <c r="G82" s="3" t="s">
        <v>61</v>
      </c>
      <c r="H82" s="3" t="s">
        <v>180</v>
      </c>
      <c r="I82" s="3" t="s">
        <v>569</v>
      </c>
      <c r="J82" s="3" t="s">
        <v>281</v>
      </c>
      <c r="K82" s="3" t="s">
        <v>570</v>
      </c>
      <c r="L82" s="3" t="str">
        <f>IF(A82="","",IF(OR(COUNTIF('Priority Rules'!$A$2:$A$24,A82)&gt;0,COUNTIF('Priority Rules'!$B$2:$B$8,B82)&gt;0),"P81",IF(COUNTIF('Priority Rules'!$C$2:$C$9,A82)&gt;0,"P82",IF(AND(OR(ISNUMBER(SEARCH("Varadero",C82)),ISNUMBER(SEARCH("Cayo Coco",C82)),ISNUMBER(SEARCH("Cayo Santa María",C82)),ISNUMBER(SEARCH("Cayo Santa Maria",C82)),ISNUMBER(SEARCH("Cayo Guillermo",C82)),ISNUMBER(SEARCH("Cayo Las Brujas",C82)),ISNUMBER(SEARCH("Cayo Ensenachos",C82)),ISNUMBER(SEARCH("Holguín",C82)),ISNUMBER(SEARCH("Holguin",C82)),ISNUMBER(SEARCH("Havana",C82)),ISNUMBER(SEARCH("Old Havana",C82)),ISNUMBER(SEARCH("Vedado",C82)),ISNUMBER(SEARCH("Miramar",C82))),NOT(ISNUMBER(SEARCH("historical",F82)))),"P82",IF(OR(ISNUMBER(SEARCH("historical",F82)),H82="Low",ISNUMBER(SEARCH("to verify",F82)),ISNUMBER(SEARCH("requires verification",F82))),"Backlog","P83")))))</f>
        <v>P82</v>
      </c>
      <c r="M82" s="3"/>
      <c r="N82" s="3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" t="s">
        <v>295</v>
      </c>
      <c r="B83" s="3"/>
      <c r="C83" s="3" t="s">
        <v>55</v>
      </c>
      <c r="D83" s="3" t="s">
        <v>151</v>
      </c>
      <c r="E83" s="3"/>
      <c r="F83" s="3" t="s">
        <v>568</v>
      </c>
      <c r="G83" s="3" t="s">
        <v>61</v>
      </c>
      <c r="H83" s="3" t="s">
        <v>180</v>
      </c>
      <c r="I83" s="3" t="s">
        <v>569</v>
      </c>
      <c r="J83" s="3" t="s">
        <v>281</v>
      </c>
      <c r="K83" s="3" t="s">
        <v>570</v>
      </c>
      <c r="L83" s="3" t="str">
        <f>IF(A83="","",IF(OR(COUNTIF('Priority Rules'!$A$2:$A$24,A83)&gt;0,COUNTIF('Priority Rules'!$B$2:$B$8,B83)&gt;0),"P82",IF(COUNTIF('Priority Rules'!$C$2:$C$9,A83)&gt;0,"P83",IF(AND(OR(ISNUMBER(SEARCH("Varadero",C83)),ISNUMBER(SEARCH("Cayo Coco",C83)),ISNUMBER(SEARCH("Cayo Santa María",C83)),ISNUMBER(SEARCH("Cayo Santa Maria",C83)),ISNUMBER(SEARCH("Cayo Guillermo",C83)),ISNUMBER(SEARCH("Cayo Las Brujas",C83)),ISNUMBER(SEARCH("Cayo Ensenachos",C83)),ISNUMBER(SEARCH("Holguín",C83)),ISNUMBER(SEARCH("Holguin",C83)),ISNUMBER(SEARCH("Havana",C83)),ISNUMBER(SEARCH("Old Havana",C83)),ISNUMBER(SEARCH("Vedado",C83)),ISNUMBER(SEARCH("Miramar",C83))),NOT(ISNUMBER(SEARCH("historical",F83)))),"P83",IF(OR(ISNUMBER(SEARCH("historical",F83)),H83="Low",ISNUMBER(SEARCH("to verify",F83)),ISNUMBER(SEARCH("requires verification",F83))),"Backlog","P84")))))</f>
        <v>P83</v>
      </c>
      <c r="M83" s="3"/>
      <c r="N83" s="3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" t="s">
        <v>297</v>
      </c>
      <c r="B84" s="3"/>
      <c r="C84" s="3" t="s">
        <v>298</v>
      </c>
      <c r="D84" s="3" t="s">
        <v>151</v>
      </c>
      <c r="E84" s="3"/>
      <c r="F84" s="3" t="s">
        <v>568</v>
      </c>
      <c r="G84" s="3" t="s">
        <v>61</v>
      </c>
      <c r="H84" s="3" t="s">
        <v>180</v>
      </c>
      <c r="I84" s="3" t="s">
        <v>569</v>
      </c>
      <c r="J84" s="3"/>
      <c r="K84" s="3" t="s">
        <v>570</v>
      </c>
      <c r="L84" s="3" t="str">
        <f>IF(A84="","",IF(OR(COUNTIF('Priority Rules'!$A$2:$A$24,A84)&gt;0,COUNTIF('Priority Rules'!$B$2:$B$8,B84)&gt;0),"P83",IF(COUNTIF('Priority Rules'!$C$2:$C$9,A84)&gt;0,"P84",IF(AND(OR(ISNUMBER(SEARCH("Varadero",C84)),ISNUMBER(SEARCH("Cayo Coco",C84)),ISNUMBER(SEARCH("Cayo Santa María",C84)),ISNUMBER(SEARCH("Cayo Santa Maria",C84)),ISNUMBER(SEARCH("Cayo Guillermo",C84)),ISNUMBER(SEARCH("Cayo Las Brujas",C84)),ISNUMBER(SEARCH("Cayo Ensenachos",C84)),ISNUMBER(SEARCH("Holguín",C84)),ISNUMBER(SEARCH("Holguin",C84)),ISNUMBER(SEARCH("Havana",C84)),ISNUMBER(SEARCH("Old Havana",C84)),ISNUMBER(SEARCH("Vedado",C84)),ISNUMBER(SEARCH("Miramar",C84))),NOT(ISNUMBER(SEARCH("historical",F84)))),"P84",IF(OR(ISNUMBER(SEARCH("historical",F84)),H84="Low",ISNUMBER(SEARCH("to verify",F84)),ISNUMBER(SEARCH("requires verification",F84))),"Backlog","P85")))))</f>
        <v>P85</v>
      </c>
      <c r="M84" s="3"/>
      <c r="N84" s="3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" t="s">
        <v>300</v>
      </c>
      <c r="B85" s="3"/>
      <c r="C85" s="3" t="s">
        <v>55</v>
      </c>
      <c r="D85" s="3" t="s">
        <v>301</v>
      </c>
      <c r="E85" s="3"/>
      <c r="F85" s="3" t="s">
        <v>568</v>
      </c>
      <c r="G85" s="3" t="s">
        <v>61</v>
      </c>
      <c r="H85" s="3" t="s">
        <v>180</v>
      </c>
      <c r="I85" s="3" t="s">
        <v>569</v>
      </c>
      <c r="J85" s="3" t="s">
        <v>281</v>
      </c>
      <c r="K85" s="3" t="s">
        <v>570</v>
      </c>
      <c r="L85" s="3" t="str">
        <f>IF(A85="","",IF(OR(COUNTIF('Priority Rules'!$A$2:$A$24,A85)&gt;0,COUNTIF('Priority Rules'!$B$2:$B$8,B85)&gt;0),"P84",IF(COUNTIF('Priority Rules'!$C$2:$C$9,A85)&gt;0,"P85",IF(AND(OR(ISNUMBER(SEARCH("Varadero",C85)),ISNUMBER(SEARCH("Cayo Coco",C85)),ISNUMBER(SEARCH("Cayo Santa María",C85)),ISNUMBER(SEARCH("Cayo Santa Maria",C85)),ISNUMBER(SEARCH("Cayo Guillermo",C85)),ISNUMBER(SEARCH("Cayo Las Brujas",C85)),ISNUMBER(SEARCH("Cayo Ensenachos",C85)),ISNUMBER(SEARCH("Holguín",C85)),ISNUMBER(SEARCH("Holguin",C85)),ISNUMBER(SEARCH("Havana",C85)),ISNUMBER(SEARCH("Old Havana",C85)),ISNUMBER(SEARCH("Vedado",C85)),ISNUMBER(SEARCH("Miramar",C85))),NOT(ISNUMBER(SEARCH("historical",F85)))),"P85",IF(OR(ISNUMBER(SEARCH("historical",F85)),H85="Low",ISNUMBER(SEARCH("to verify",F85)),ISNUMBER(SEARCH("requires verification",F85))),"Backlog","P86")))))</f>
        <v>P85</v>
      </c>
      <c r="M85" s="3"/>
      <c r="N85" s="3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303</v>
      </c>
      <c r="B86" s="4"/>
      <c r="C86" s="4" t="s">
        <v>55</v>
      </c>
      <c r="D86" s="4" t="s">
        <v>151</v>
      </c>
      <c r="E86" s="4"/>
      <c r="F86" s="4" t="s">
        <v>568</v>
      </c>
      <c r="G86" s="4" t="s">
        <v>61</v>
      </c>
      <c r="H86" s="4" t="s">
        <v>180</v>
      </c>
      <c r="I86" s="4" t="s">
        <v>569</v>
      </c>
      <c r="J86" s="4" t="s">
        <v>281</v>
      </c>
      <c r="K86" s="4" t="s">
        <v>570</v>
      </c>
      <c r="L86" s="4" t="str">
        <f>IF(A86="","",IF(OR(COUNTIF('Priority Rules'!$A$2:$A$24,A86)&gt;0,COUNTIF('Priority Rules'!$B$2:$B$8,B86)&gt;0),"P85",IF(COUNTIF('Priority Rules'!$C$2:$C$9,A86)&gt;0,"P86",IF(AND(OR(ISNUMBER(SEARCH("Varadero",C86)),ISNUMBER(SEARCH("Cayo Coco",C86)),ISNUMBER(SEARCH("Cayo Santa María",C86)),ISNUMBER(SEARCH("Cayo Santa Maria",C86)),ISNUMBER(SEARCH("Cayo Guillermo",C86)),ISNUMBER(SEARCH("Cayo Las Brujas",C86)),ISNUMBER(SEARCH("Cayo Ensenachos",C86)),ISNUMBER(SEARCH("Holguín",C86)),ISNUMBER(SEARCH("Holguin",C86)),ISNUMBER(SEARCH("Havana",C86)),ISNUMBER(SEARCH("Old Havana",C86)),ISNUMBER(SEARCH("Vedado",C86)),ISNUMBER(SEARCH("Miramar",C86))),NOT(ISNUMBER(SEARCH("historical",F86)))),"P86",IF(OR(ISNUMBER(SEARCH("historical",F86)),H86="Low",ISNUMBER(SEARCH("to verify",F86)),ISNUMBER(SEARCH("requires verification",F86))),"Backlog","P87")))))</f>
        <v>P86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305</v>
      </c>
      <c r="B87" s="4"/>
      <c r="C87" s="4" t="s">
        <v>37</v>
      </c>
      <c r="D87" s="4" t="s">
        <v>301</v>
      </c>
      <c r="E87" s="4"/>
      <c r="F87" s="4" t="s">
        <v>568</v>
      </c>
      <c r="G87" s="4" t="s">
        <v>61</v>
      </c>
      <c r="H87" s="4" t="s">
        <v>180</v>
      </c>
      <c r="I87" s="4" t="s">
        <v>569</v>
      </c>
      <c r="J87" s="4" t="s">
        <v>281</v>
      </c>
      <c r="K87" s="4" t="s">
        <v>570</v>
      </c>
      <c r="L87" s="4" t="str">
        <f>IF(A87="","",IF(OR(COUNTIF('Priority Rules'!$A$2:$A$24,A87)&gt;0,COUNTIF('Priority Rules'!$B$2:$B$8,B87)&gt;0),"P86",IF(COUNTIF('Priority Rules'!$C$2:$C$9,A87)&gt;0,"P87",IF(AND(OR(ISNUMBER(SEARCH("Varadero",C87)),ISNUMBER(SEARCH("Cayo Coco",C87)),ISNUMBER(SEARCH("Cayo Santa María",C87)),ISNUMBER(SEARCH("Cayo Santa Maria",C87)),ISNUMBER(SEARCH("Cayo Guillermo",C87)),ISNUMBER(SEARCH("Cayo Las Brujas",C87)),ISNUMBER(SEARCH("Cayo Ensenachos",C87)),ISNUMBER(SEARCH("Holguín",C87)),ISNUMBER(SEARCH("Holguin",C87)),ISNUMBER(SEARCH("Havana",C87)),ISNUMBER(SEARCH("Old Havana",C87)),ISNUMBER(SEARCH("Vedado",C87)),ISNUMBER(SEARCH("Miramar",C87))),NOT(ISNUMBER(SEARCH("historical",F87)))),"P87",IF(OR(ISNUMBER(SEARCH("historical",F87)),H87="Low",ISNUMBER(SEARCH("to verify",F87)),ISNUMBER(SEARCH("requires verification",F87))),"Backlog","P88")))))</f>
        <v>P87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306</v>
      </c>
      <c r="B88" s="4"/>
      <c r="C88" s="4" t="s">
        <v>287</v>
      </c>
      <c r="D88" s="4" t="s">
        <v>40</v>
      </c>
      <c r="E88" s="4"/>
      <c r="F88" s="4" t="s">
        <v>568</v>
      </c>
      <c r="G88" s="4" t="s">
        <v>61</v>
      </c>
      <c r="H88" s="4" t="s">
        <v>180</v>
      </c>
      <c r="I88" s="4" t="s">
        <v>569</v>
      </c>
      <c r="J88" s="4" t="s">
        <v>281</v>
      </c>
      <c r="K88" s="4" t="s">
        <v>570</v>
      </c>
      <c r="L88" s="4" t="str">
        <f>IF(A88="","",IF(OR(COUNTIF('Priority Rules'!$A$2:$A$24,A88)&gt;0,COUNTIF('Priority Rules'!$B$2:$B$8,B88)&gt;0),"P87",IF(COUNTIF('Priority Rules'!$C$2:$C$9,A88)&gt;0,"P88",IF(AND(OR(ISNUMBER(SEARCH("Varadero",C88)),ISNUMBER(SEARCH("Cayo Coco",C88)),ISNUMBER(SEARCH("Cayo Santa María",C88)),ISNUMBER(SEARCH("Cayo Santa Maria",C88)),ISNUMBER(SEARCH("Cayo Guillermo",C88)),ISNUMBER(SEARCH("Cayo Las Brujas",C88)),ISNUMBER(SEARCH("Cayo Ensenachos",C88)),ISNUMBER(SEARCH("Holguín",C88)),ISNUMBER(SEARCH("Holguin",C88)),ISNUMBER(SEARCH("Havana",C88)),ISNUMBER(SEARCH("Old Havana",C88)),ISNUMBER(SEARCH("Vedado",C88)),ISNUMBER(SEARCH("Miramar",C88))),NOT(ISNUMBER(SEARCH("historical",F88)))),"P88",IF(OR(ISNUMBER(SEARCH("historical",F88)),H88="Low",ISNUMBER(SEARCH("to verify",F88)),ISNUMBER(SEARCH("requires verification",F88))),"Backlog","P89")))))</f>
        <v>P88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308</v>
      </c>
      <c r="B89" s="4"/>
      <c r="C89" s="4" t="s">
        <v>287</v>
      </c>
      <c r="D89" s="4" t="s">
        <v>40</v>
      </c>
      <c r="E89" s="4"/>
      <c r="F89" s="4" t="s">
        <v>568</v>
      </c>
      <c r="G89" s="4" t="s">
        <v>61</v>
      </c>
      <c r="H89" s="4" t="s">
        <v>180</v>
      </c>
      <c r="I89" s="4" t="s">
        <v>569</v>
      </c>
      <c r="J89" s="4" t="s">
        <v>281</v>
      </c>
      <c r="K89" s="4" t="s">
        <v>570</v>
      </c>
      <c r="L89" s="4" t="str">
        <f>IF(A89="","",IF(OR(COUNTIF('Priority Rules'!$A$2:$A$24,A89)&gt;0,COUNTIF('Priority Rules'!$B$2:$B$8,B89)&gt;0),"P88",IF(COUNTIF('Priority Rules'!$C$2:$C$9,A89)&gt;0,"P89",IF(AND(OR(ISNUMBER(SEARCH("Varadero",C89)),ISNUMBER(SEARCH("Cayo Coco",C89)),ISNUMBER(SEARCH("Cayo Santa María",C89)),ISNUMBER(SEARCH("Cayo Santa Maria",C89)),ISNUMBER(SEARCH("Cayo Guillermo",C89)),ISNUMBER(SEARCH("Cayo Las Brujas",C89)),ISNUMBER(SEARCH("Cayo Ensenachos",C89)),ISNUMBER(SEARCH("Holguín",C89)),ISNUMBER(SEARCH("Holguin",C89)),ISNUMBER(SEARCH("Havana",C89)),ISNUMBER(SEARCH("Old Havana",C89)),ISNUMBER(SEARCH("Vedado",C89)),ISNUMBER(SEARCH("Miramar",C89))),NOT(ISNUMBER(SEARCH("historical",F89)))),"P89",IF(OR(ISNUMBER(SEARCH("historical",F89)),H89="Low",ISNUMBER(SEARCH("to verify",F89)),ISNUMBER(SEARCH("requires verification",F89))),"Backlog","P90")))))</f>
        <v>P89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309</v>
      </c>
      <c r="B90" s="4"/>
      <c r="C90" s="4" t="s">
        <v>150</v>
      </c>
      <c r="D90" s="4" t="s">
        <v>151</v>
      </c>
      <c r="E90" s="4"/>
      <c r="F90" s="4" t="s">
        <v>568</v>
      </c>
      <c r="G90" s="4" t="s">
        <v>61</v>
      </c>
      <c r="H90" s="4" t="s">
        <v>180</v>
      </c>
      <c r="I90" s="4" t="s">
        <v>569</v>
      </c>
      <c r="J90" s="4" t="s">
        <v>310</v>
      </c>
      <c r="K90" s="4" t="s">
        <v>570</v>
      </c>
      <c r="L90" s="4" t="str">
        <f>IF(A90="","",IF(OR(COUNTIF('Priority Rules'!$A$2:$A$24,A90)&gt;0,COUNTIF('Priority Rules'!$B$2:$B$8,B90)&gt;0),"P89",IF(COUNTIF('Priority Rules'!$C$2:$C$9,A90)&gt;0,"P90",IF(AND(OR(ISNUMBER(SEARCH("Varadero",C90)),ISNUMBER(SEARCH("Cayo Coco",C90)),ISNUMBER(SEARCH("Cayo Santa María",C90)),ISNUMBER(SEARCH("Cayo Santa Maria",C90)),ISNUMBER(SEARCH("Cayo Guillermo",C90)),ISNUMBER(SEARCH("Cayo Las Brujas",C90)),ISNUMBER(SEARCH("Cayo Ensenachos",C90)),ISNUMBER(SEARCH("Holguín",C90)),ISNUMBER(SEARCH("Holguin",C90)),ISNUMBER(SEARCH("Havana",C90)),ISNUMBER(SEARCH("Old Havana",C90)),ISNUMBER(SEARCH("Vedado",C90)),ISNUMBER(SEARCH("Miramar",C90))),NOT(ISNUMBER(SEARCH("historical",F90)))),"P90",IF(OR(ISNUMBER(SEARCH("historical",F90)),H90="Low",ISNUMBER(SEARCH("to verify",F90)),ISNUMBER(SEARCH("requires verification",F90))),"Backlog","P91")))))</f>
        <v>P91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311</v>
      </c>
      <c r="B91" s="4"/>
      <c r="C91" s="4" t="s">
        <v>150</v>
      </c>
      <c r="D91" s="4" t="s">
        <v>135</v>
      </c>
      <c r="E91" s="4"/>
      <c r="F91" s="4" t="s">
        <v>568</v>
      </c>
      <c r="G91" s="4" t="s">
        <v>61</v>
      </c>
      <c r="H91" s="4" t="s">
        <v>180</v>
      </c>
      <c r="I91" s="4" t="s">
        <v>569</v>
      </c>
      <c r="J91" s="4" t="s">
        <v>310</v>
      </c>
      <c r="K91" s="4" t="s">
        <v>570</v>
      </c>
      <c r="L91" s="4" t="str">
        <f>IF(A91="","",IF(OR(COUNTIF('Priority Rules'!$A$2:$A$24,A91)&gt;0,COUNTIF('Priority Rules'!$B$2:$B$8,B91)&gt;0),"P90",IF(COUNTIF('Priority Rules'!$C$2:$C$9,A91)&gt;0,"P91",IF(AND(OR(ISNUMBER(SEARCH("Varadero",C91)),ISNUMBER(SEARCH("Cayo Coco",C91)),ISNUMBER(SEARCH("Cayo Santa María",C91)),ISNUMBER(SEARCH("Cayo Santa Maria",C91)),ISNUMBER(SEARCH("Cayo Guillermo",C91)),ISNUMBER(SEARCH("Cayo Las Brujas",C91)),ISNUMBER(SEARCH("Cayo Ensenachos",C91)),ISNUMBER(SEARCH("Holguín",C91)),ISNUMBER(SEARCH("Holguin",C91)),ISNUMBER(SEARCH("Havana",C91)),ISNUMBER(SEARCH("Old Havana",C91)),ISNUMBER(SEARCH("Vedado",C91)),ISNUMBER(SEARCH("Miramar",C91))),NOT(ISNUMBER(SEARCH("historical",F91)))),"P91",IF(OR(ISNUMBER(SEARCH("historical",F91)),H91="Low",ISNUMBER(SEARCH("to verify",F91)),ISNUMBER(SEARCH("requires verification",F91))),"Backlog","P92")))))</f>
        <v>P92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316</v>
      </c>
      <c r="B92" s="4"/>
      <c r="C92" s="4" t="s">
        <v>150</v>
      </c>
      <c r="D92" s="4" t="s">
        <v>135</v>
      </c>
      <c r="E92" s="4"/>
      <c r="F92" s="4" t="s">
        <v>568</v>
      </c>
      <c r="G92" s="4" t="s">
        <v>61</v>
      </c>
      <c r="H92" s="4" t="s">
        <v>180</v>
      </c>
      <c r="I92" s="4" t="s">
        <v>569</v>
      </c>
      <c r="J92" s="4" t="s">
        <v>310</v>
      </c>
      <c r="K92" s="4" t="s">
        <v>570</v>
      </c>
      <c r="L92" s="4" t="str">
        <f>IF(A92="","",IF(OR(COUNTIF('Priority Rules'!$A$2:$A$24,A92)&gt;0,COUNTIF('Priority Rules'!$B$2:$B$8,B92)&gt;0),"P91",IF(COUNTIF('Priority Rules'!$C$2:$C$9,A92)&gt;0,"P92",IF(AND(OR(ISNUMBER(SEARCH("Varadero",C92)),ISNUMBER(SEARCH("Cayo Coco",C92)),ISNUMBER(SEARCH("Cayo Santa María",C92)),ISNUMBER(SEARCH("Cayo Santa Maria",C92)),ISNUMBER(SEARCH("Cayo Guillermo",C92)),ISNUMBER(SEARCH("Cayo Las Brujas",C92)),ISNUMBER(SEARCH("Cayo Ensenachos",C92)),ISNUMBER(SEARCH("Holguín",C92)),ISNUMBER(SEARCH("Holguin",C92)),ISNUMBER(SEARCH("Havana",C92)),ISNUMBER(SEARCH("Old Havana",C92)),ISNUMBER(SEARCH("Vedado",C92)),ISNUMBER(SEARCH("Miramar",C92))),NOT(ISNUMBER(SEARCH("historical",F92)))),"P92",IF(OR(ISNUMBER(SEARCH("historical",F92)),H92="Low",ISNUMBER(SEARCH("to verify",F92)),ISNUMBER(SEARCH("requires verification",F92))),"Backlog","P93")))))</f>
        <v>P93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318</v>
      </c>
      <c r="B93" s="4"/>
      <c r="C93" s="4" t="s">
        <v>150</v>
      </c>
      <c r="D93" s="4" t="s">
        <v>40</v>
      </c>
      <c r="E93" s="4"/>
      <c r="F93" s="4" t="s">
        <v>568</v>
      </c>
      <c r="G93" s="4" t="s">
        <v>61</v>
      </c>
      <c r="H93" s="4" t="s">
        <v>180</v>
      </c>
      <c r="I93" s="4" t="s">
        <v>569</v>
      </c>
      <c r="J93" s="4" t="s">
        <v>310</v>
      </c>
      <c r="K93" s="4" t="s">
        <v>570</v>
      </c>
      <c r="L93" s="4" t="str">
        <f>IF(A93="","",IF(OR(COUNTIF('Priority Rules'!$A$2:$A$24,A93)&gt;0,COUNTIF('Priority Rules'!$B$2:$B$8,B93)&gt;0),"P92",IF(COUNTIF('Priority Rules'!$C$2:$C$9,A93)&gt;0,"P93",IF(AND(OR(ISNUMBER(SEARCH("Varadero",C93)),ISNUMBER(SEARCH("Cayo Coco",C93)),ISNUMBER(SEARCH("Cayo Santa María",C93)),ISNUMBER(SEARCH("Cayo Santa Maria",C93)),ISNUMBER(SEARCH("Cayo Guillermo",C93)),ISNUMBER(SEARCH("Cayo Las Brujas",C93)),ISNUMBER(SEARCH("Cayo Ensenachos",C93)),ISNUMBER(SEARCH("Holguín",C93)),ISNUMBER(SEARCH("Holguin",C93)),ISNUMBER(SEARCH("Havana",C93)),ISNUMBER(SEARCH("Old Havana",C93)),ISNUMBER(SEARCH("Vedado",C93)),ISNUMBER(SEARCH("Miramar",C93))),NOT(ISNUMBER(SEARCH("historical",F93)))),"P93",IF(OR(ISNUMBER(SEARCH("historical",F93)),H93="Low",ISNUMBER(SEARCH("to verify",F93)),ISNUMBER(SEARCH("requires verification",F93))),"Backlog","P94")))))</f>
        <v>P94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320</v>
      </c>
      <c r="B94" s="4"/>
      <c r="C94" s="4" t="s">
        <v>321</v>
      </c>
      <c r="D94" s="4" t="s">
        <v>135</v>
      </c>
      <c r="E94" s="4"/>
      <c r="F94" s="4" t="s">
        <v>568</v>
      </c>
      <c r="G94" s="4" t="s">
        <v>61</v>
      </c>
      <c r="H94" s="4" t="s">
        <v>180</v>
      </c>
      <c r="I94" s="4" t="s">
        <v>569</v>
      </c>
      <c r="J94" s="4" t="s">
        <v>310</v>
      </c>
      <c r="K94" s="4" t="s">
        <v>570</v>
      </c>
      <c r="L94" s="4" t="str">
        <f>IF(A94="","",IF(OR(COUNTIF('Priority Rules'!$A$2:$A$24,A94)&gt;0,COUNTIF('Priority Rules'!$B$2:$B$8,B94)&gt;0),"P93",IF(COUNTIF('Priority Rules'!$C$2:$C$9,A94)&gt;0,"P94",IF(AND(OR(ISNUMBER(SEARCH("Varadero",C94)),ISNUMBER(SEARCH("Cayo Coco",C94)),ISNUMBER(SEARCH("Cayo Santa María",C94)),ISNUMBER(SEARCH("Cayo Santa Maria",C94)),ISNUMBER(SEARCH("Cayo Guillermo",C94)),ISNUMBER(SEARCH("Cayo Las Brujas",C94)),ISNUMBER(SEARCH("Cayo Ensenachos",C94)),ISNUMBER(SEARCH("Holguín",C94)),ISNUMBER(SEARCH("Holguin",C94)),ISNUMBER(SEARCH("Havana",C94)),ISNUMBER(SEARCH("Old Havana",C94)),ISNUMBER(SEARCH("Vedado",C94)),ISNUMBER(SEARCH("Miramar",C94))),NOT(ISNUMBER(SEARCH("historical",F94)))),"P94",IF(OR(ISNUMBER(SEARCH("historical",F94)),H94="Low",ISNUMBER(SEARCH("to verify",F94)),ISNUMBER(SEARCH("requires verification",F94))),"Backlog","P95")))))</f>
        <v>P95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323</v>
      </c>
      <c r="B95" s="4"/>
      <c r="C95" s="4" t="s">
        <v>324</v>
      </c>
      <c r="D95" s="4" t="s">
        <v>62</v>
      </c>
      <c r="E95" s="4"/>
      <c r="F95" s="4" t="s">
        <v>568</v>
      </c>
      <c r="G95" s="4" t="s">
        <v>61</v>
      </c>
      <c r="H95" s="4" t="s">
        <v>180</v>
      </c>
      <c r="I95" s="4" t="s">
        <v>569</v>
      </c>
      <c r="J95" s="4" t="s">
        <v>325</v>
      </c>
      <c r="K95" s="4" t="s">
        <v>570</v>
      </c>
      <c r="L95" s="4" t="str">
        <f>IF(A95="","",IF(OR(COUNTIF('Priority Rules'!$A$2:$A$24,A95)&gt;0,COUNTIF('Priority Rules'!$B$2:$B$8,B95)&gt;0),"P94",IF(COUNTIF('Priority Rules'!$C$2:$C$9,A95)&gt;0,"P95",IF(AND(OR(ISNUMBER(SEARCH("Varadero",C95)),ISNUMBER(SEARCH("Cayo Coco",C95)),ISNUMBER(SEARCH("Cayo Santa María",C95)),ISNUMBER(SEARCH("Cayo Santa Maria",C95)),ISNUMBER(SEARCH("Cayo Guillermo",C95)),ISNUMBER(SEARCH("Cayo Las Brujas",C95)),ISNUMBER(SEARCH("Cayo Ensenachos",C95)),ISNUMBER(SEARCH("Holguín",C95)),ISNUMBER(SEARCH("Holguin",C95)),ISNUMBER(SEARCH("Havana",C95)),ISNUMBER(SEARCH("Old Havana",C95)),ISNUMBER(SEARCH("Vedado",C95)),ISNUMBER(SEARCH("Miramar",C95))),NOT(ISNUMBER(SEARCH("historical",F95)))),"P95",IF(OR(ISNUMBER(SEARCH("historical",F95)),H95="Low",ISNUMBER(SEARCH("to verify",F95)),ISNUMBER(SEARCH("requires verification",F95))),"Backlog","P96")))))</f>
        <v>P95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327</v>
      </c>
      <c r="B96" s="4"/>
      <c r="C96" s="4" t="s">
        <v>110</v>
      </c>
      <c r="D96" s="4" t="s">
        <v>328</v>
      </c>
      <c r="E96" s="4"/>
      <c r="F96" s="4" t="s">
        <v>568</v>
      </c>
      <c r="G96" s="4" t="s">
        <v>61</v>
      </c>
      <c r="H96" s="4" t="s">
        <v>180</v>
      </c>
      <c r="I96" s="4" t="s">
        <v>569</v>
      </c>
      <c r="J96" s="4" t="s">
        <v>325</v>
      </c>
      <c r="K96" s="4" t="s">
        <v>570</v>
      </c>
      <c r="L96" s="4" t="str">
        <f>IF(A96="","",IF(OR(COUNTIF('Priority Rules'!$A$2:$A$24,A96)&gt;0,COUNTIF('Priority Rules'!$B$2:$B$8,B96)&gt;0),"P95",IF(COUNTIF('Priority Rules'!$C$2:$C$9,A96)&gt;0,"P96",IF(AND(OR(ISNUMBER(SEARCH("Varadero",C96)),ISNUMBER(SEARCH("Cayo Coco",C96)),ISNUMBER(SEARCH("Cayo Santa María",C96)),ISNUMBER(SEARCH("Cayo Santa Maria",C96)),ISNUMBER(SEARCH("Cayo Guillermo",C96)),ISNUMBER(SEARCH("Cayo Las Brujas",C96)),ISNUMBER(SEARCH("Cayo Ensenachos",C96)),ISNUMBER(SEARCH("Holguín",C96)),ISNUMBER(SEARCH("Holguin",C96)),ISNUMBER(SEARCH("Havana",C96)),ISNUMBER(SEARCH("Old Havana",C96)),ISNUMBER(SEARCH("Vedado",C96)),ISNUMBER(SEARCH("Miramar",C96))),NOT(ISNUMBER(SEARCH("historical",F96)))),"P96",IF(OR(ISNUMBER(SEARCH("historical",F96)),H96="Low",ISNUMBER(SEARCH("to verify",F96)),ISNUMBER(SEARCH("requires verification",F96))),"Backlog","P97")))))</f>
        <v>P96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329</v>
      </c>
      <c r="B97" s="4"/>
      <c r="C97" s="4" t="s">
        <v>324</v>
      </c>
      <c r="D97" s="4" t="s">
        <v>330</v>
      </c>
      <c r="E97" s="4"/>
      <c r="F97" s="4" t="s">
        <v>568</v>
      </c>
      <c r="G97" s="4" t="s">
        <v>61</v>
      </c>
      <c r="H97" s="4" t="s">
        <v>180</v>
      </c>
      <c r="I97" s="4" t="s">
        <v>569</v>
      </c>
      <c r="J97" s="4" t="s">
        <v>325</v>
      </c>
      <c r="K97" s="4" t="s">
        <v>570</v>
      </c>
      <c r="L97" s="4" t="str">
        <f>IF(A97="","",IF(OR(COUNTIF('Priority Rules'!$A$2:$A$24,A97)&gt;0,COUNTIF('Priority Rules'!$B$2:$B$8,B97)&gt;0),"P96",IF(COUNTIF('Priority Rules'!$C$2:$C$9,A97)&gt;0,"P97",IF(AND(OR(ISNUMBER(SEARCH("Varadero",C97)),ISNUMBER(SEARCH("Cayo Coco",C97)),ISNUMBER(SEARCH("Cayo Santa María",C97)),ISNUMBER(SEARCH("Cayo Santa Maria",C97)),ISNUMBER(SEARCH("Cayo Guillermo",C97)),ISNUMBER(SEARCH("Cayo Las Brujas",C97)),ISNUMBER(SEARCH("Cayo Ensenachos",C97)),ISNUMBER(SEARCH("Holguín",C97)),ISNUMBER(SEARCH("Holguin",C97)),ISNUMBER(SEARCH("Havana",C97)),ISNUMBER(SEARCH("Old Havana",C97)),ISNUMBER(SEARCH("Vedado",C97)),ISNUMBER(SEARCH("Miramar",C97))),NOT(ISNUMBER(SEARCH("historical",F97)))),"P97",IF(OR(ISNUMBER(SEARCH("historical",F97)),H97="Low",ISNUMBER(SEARCH("to verify",F97)),ISNUMBER(SEARCH("requires verification",F97))),"Backlog","P98")))))</f>
        <v>P97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332</v>
      </c>
      <c r="B98" s="4"/>
      <c r="C98" s="4" t="s">
        <v>110</v>
      </c>
      <c r="D98" s="4" t="s">
        <v>328</v>
      </c>
      <c r="E98" s="4"/>
      <c r="F98" s="4" t="s">
        <v>568</v>
      </c>
      <c r="G98" s="4" t="s">
        <v>61</v>
      </c>
      <c r="H98" s="4" t="s">
        <v>180</v>
      </c>
      <c r="I98" s="4" t="s">
        <v>569</v>
      </c>
      <c r="J98" s="4" t="s">
        <v>325</v>
      </c>
      <c r="K98" s="4" t="s">
        <v>570</v>
      </c>
      <c r="L98" s="4" t="str">
        <f>IF(A98="","",IF(OR(COUNTIF('Priority Rules'!$A$2:$A$24,A98)&gt;0,COUNTIF('Priority Rules'!$B$2:$B$8,B98)&gt;0),"P97",IF(COUNTIF('Priority Rules'!$C$2:$C$9,A98)&gt;0,"P98",IF(AND(OR(ISNUMBER(SEARCH("Varadero",C98)),ISNUMBER(SEARCH("Cayo Coco",C98)),ISNUMBER(SEARCH("Cayo Santa María",C98)),ISNUMBER(SEARCH("Cayo Santa Maria",C98)),ISNUMBER(SEARCH("Cayo Guillermo",C98)),ISNUMBER(SEARCH("Cayo Las Brujas",C98)),ISNUMBER(SEARCH("Cayo Ensenachos",C98)),ISNUMBER(SEARCH("Holguín",C98)),ISNUMBER(SEARCH("Holguin",C98)),ISNUMBER(SEARCH("Havana",C98)),ISNUMBER(SEARCH("Old Havana",C98)),ISNUMBER(SEARCH("Vedado",C98)),ISNUMBER(SEARCH("Miramar",C98))),NOT(ISNUMBER(SEARCH("historical",F98)))),"P98",IF(OR(ISNUMBER(SEARCH("historical",F98)),H98="Low",ISNUMBER(SEARCH("to verify",F98)),ISNUMBER(SEARCH("requires verification",F98))),"Backlog","P99")))))</f>
        <v>P98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333</v>
      </c>
      <c r="B99" s="4"/>
      <c r="C99" s="4" t="s">
        <v>110</v>
      </c>
      <c r="D99" s="4" t="s">
        <v>334</v>
      </c>
      <c r="E99" s="4"/>
      <c r="F99" s="4" t="s">
        <v>568</v>
      </c>
      <c r="G99" s="4" t="s">
        <v>61</v>
      </c>
      <c r="H99" s="4" t="s">
        <v>180</v>
      </c>
      <c r="I99" s="4" t="s">
        <v>569</v>
      </c>
      <c r="J99" s="4" t="s">
        <v>325</v>
      </c>
      <c r="K99" s="4" t="s">
        <v>570</v>
      </c>
      <c r="L99" s="4" t="str">
        <f>IF(A99="","",IF(OR(COUNTIF('Priority Rules'!$A$2:$A$24,A99)&gt;0,COUNTIF('Priority Rules'!$B$2:$B$8,B99)&gt;0),"P98",IF(COUNTIF('Priority Rules'!$C$2:$C$9,A99)&gt;0,"P99",IF(AND(OR(ISNUMBER(SEARCH("Varadero",C99)),ISNUMBER(SEARCH("Cayo Coco",C99)),ISNUMBER(SEARCH("Cayo Santa María",C99)),ISNUMBER(SEARCH("Cayo Santa Maria",C99)),ISNUMBER(SEARCH("Cayo Guillermo",C99)),ISNUMBER(SEARCH("Cayo Las Brujas",C99)),ISNUMBER(SEARCH("Cayo Ensenachos",C99)),ISNUMBER(SEARCH("Holguín",C99)),ISNUMBER(SEARCH("Holguin",C99)),ISNUMBER(SEARCH("Havana",C99)),ISNUMBER(SEARCH("Old Havana",C99)),ISNUMBER(SEARCH("Vedado",C99)),ISNUMBER(SEARCH("Miramar",C99))),NOT(ISNUMBER(SEARCH("historical",F99)))),"P99",IF(OR(ISNUMBER(SEARCH("historical",F99)),H99="Low",ISNUMBER(SEARCH("to verify",F99)),ISNUMBER(SEARCH("requires verification",F99))),"Backlog","P100")))))</f>
        <v>P98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335</v>
      </c>
      <c r="B100" s="4"/>
      <c r="C100" s="4" t="s">
        <v>324</v>
      </c>
      <c r="D100" s="4" t="s">
        <v>336</v>
      </c>
      <c r="E100" s="4"/>
      <c r="F100" s="4" t="s">
        <v>568</v>
      </c>
      <c r="G100" s="4" t="s">
        <v>61</v>
      </c>
      <c r="H100" s="4" t="s">
        <v>180</v>
      </c>
      <c r="I100" s="4" t="s">
        <v>569</v>
      </c>
      <c r="J100" s="4" t="s">
        <v>325</v>
      </c>
      <c r="K100" s="4" t="s">
        <v>570</v>
      </c>
      <c r="L100" s="4" t="str">
        <f>IF(A100="","",IF(OR(COUNTIF('Priority Rules'!$A$2:$A$24,A100)&gt;0,COUNTIF('Priority Rules'!$B$2:$B$8,B100)&gt;0),"P99",IF(COUNTIF('Priority Rules'!$C$2:$C$9,A100)&gt;0,"P100",IF(AND(OR(ISNUMBER(SEARCH("Varadero",C100)),ISNUMBER(SEARCH("Cayo Coco",C100)),ISNUMBER(SEARCH("Cayo Santa María",C100)),ISNUMBER(SEARCH("Cayo Santa Maria",C100)),ISNUMBER(SEARCH("Cayo Guillermo",C100)),ISNUMBER(SEARCH("Cayo Las Brujas",C100)),ISNUMBER(SEARCH("Cayo Ensenachos",C100)),ISNUMBER(SEARCH("Holguín",C100)),ISNUMBER(SEARCH("Holguin",C100)),ISNUMBER(SEARCH("Havana",C100)),ISNUMBER(SEARCH("Old Havana",C100)),ISNUMBER(SEARCH("Vedado",C100)),ISNUMBER(SEARCH("Miramar",C100))),NOT(ISNUMBER(SEARCH("historical",F100)))),"P100",IF(OR(ISNUMBER(SEARCH("historical",F100)),H100="Low",ISNUMBER(SEARCH("to verify",F100)),ISNUMBER(SEARCH("requires verification",F100))),"Backlog","P101")))))</f>
        <v>P100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337</v>
      </c>
      <c r="B101" s="4"/>
      <c r="C101" s="4" t="s">
        <v>110</v>
      </c>
      <c r="D101" s="4" t="s">
        <v>135</v>
      </c>
      <c r="E101" s="4"/>
      <c r="F101" s="4" t="s">
        <v>568</v>
      </c>
      <c r="G101" s="4" t="s">
        <v>61</v>
      </c>
      <c r="H101" s="4" t="s">
        <v>180</v>
      </c>
      <c r="I101" s="4" t="s">
        <v>569</v>
      </c>
      <c r="J101" s="4" t="s">
        <v>325</v>
      </c>
      <c r="K101" s="4" t="s">
        <v>570</v>
      </c>
      <c r="L101" s="4" t="str">
        <f>IF(A101="","",IF(OR(COUNTIF('Priority Rules'!$A$2:$A$24,A101)&gt;0,COUNTIF('Priority Rules'!$B$2:$B$8,B101)&gt;0),"P100",IF(COUNTIF('Priority Rules'!$C$2:$C$9,A101)&gt;0,"P101",IF(AND(OR(ISNUMBER(SEARCH("Varadero",C101)),ISNUMBER(SEARCH("Cayo Coco",C101)),ISNUMBER(SEARCH("Cayo Santa María",C101)),ISNUMBER(SEARCH("Cayo Santa Maria",C101)),ISNUMBER(SEARCH("Cayo Guillermo",C101)),ISNUMBER(SEARCH("Cayo Las Brujas",C101)),ISNUMBER(SEARCH("Cayo Ensenachos",C101)),ISNUMBER(SEARCH("Holguín",C101)),ISNUMBER(SEARCH("Holguin",C101)),ISNUMBER(SEARCH("Havana",C101)),ISNUMBER(SEARCH("Old Havana",C101)),ISNUMBER(SEARCH("Vedado",C101)),ISNUMBER(SEARCH("Miramar",C101))),NOT(ISNUMBER(SEARCH("historical",F101)))),"P101",IF(OR(ISNUMBER(SEARCH("historical",F101)),H101="Low",ISNUMBER(SEARCH("to verify",F101)),ISNUMBER(SEARCH("requires verification",F101))),"Backlog","P102")))))</f>
        <v>P101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338</v>
      </c>
      <c r="B102" s="4"/>
      <c r="C102" s="4" t="s">
        <v>324</v>
      </c>
      <c r="D102" s="4" t="s">
        <v>339</v>
      </c>
      <c r="E102" s="4"/>
      <c r="F102" s="4" t="s">
        <v>568</v>
      </c>
      <c r="G102" s="4" t="s">
        <v>61</v>
      </c>
      <c r="H102" s="4" t="s">
        <v>180</v>
      </c>
      <c r="I102" s="4" t="s">
        <v>569</v>
      </c>
      <c r="J102" s="4" t="s">
        <v>325</v>
      </c>
      <c r="K102" s="4" t="s">
        <v>570</v>
      </c>
      <c r="L102" s="4" t="str">
        <f>IF(A102="","",IF(OR(COUNTIF('Priority Rules'!$A$2:$A$24,A102)&gt;0,COUNTIF('Priority Rules'!$B$2:$B$8,B102)&gt;0),"P101",IF(COUNTIF('Priority Rules'!$C$2:$C$9,A102)&gt;0,"P102",IF(AND(OR(ISNUMBER(SEARCH("Varadero",C102)),ISNUMBER(SEARCH("Cayo Coco",C102)),ISNUMBER(SEARCH("Cayo Santa María",C102)),ISNUMBER(SEARCH("Cayo Santa Maria",C102)),ISNUMBER(SEARCH("Cayo Guillermo",C102)),ISNUMBER(SEARCH("Cayo Las Brujas",C102)),ISNUMBER(SEARCH("Cayo Ensenachos",C102)),ISNUMBER(SEARCH("Holguín",C102)),ISNUMBER(SEARCH("Holguin",C102)),ISNUMBER(SEARCH("Havana",C102)),ISNUMBER(SEARCH("Old Havana",C102)),ISNUMBER(SEARCH("Vedado",C102)),ISNUMBER(SEARCH("Miramar",C102))),NOT(ISNUMBER(SEARCH("historical",F102)))),"P102",IF(OR(ISNUMBER(SEARCH("historical",F102)),H102="Low",ISNUMBER(SEARCH("to verify",F102)),ISNUMBER(SEARCH("requires verification",F102))),"Backlog","P103")))))</f>
        <v>P102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340</v>
      </c>
      <c r="B103" s="4"/>
      <c r="C103" s="4" t="s">
        <v>341</v>
      </c>
      <c r="D103" s="4" t="s">
        <v>40</v>
      </c>
      <c r="E103" s="4"/>
      <c r="F103" s="4" t="s">
        <v>568</v>
      </c>
      <c r="G103" s="4" t="s">
        <v>61</v>
      </c>
      <c r="H103" s="4" t="s">
        <v>180</v>
      </c>
      <c r="I103" s="4" t="s">
        <v>569</v>
      </c>
      <c r="J103" s="4" t="s">
        <v>325</v>
      </c>
      <c r="K103" s="4" t="s">
        <v>570</v>
      </c>
      <c r="L103" s="4" t="str">
        <f>IF(A103="","",IF(OR(COUNTIF('Priority Rules'!$A$2:$A$24,A103)&gt;0,COUNTIF('Priority Rules'!$B$2:$B$8,B103)&gt;0),"P102",IF(COUNTIF('Priority Rules'!$C$2:$C$9,A103)&gt;0,"P103",IF(AND(OR(ISNUMBER(SEARCH("Varadero",C103)),ISNUMBER(SEARCH("Cayo Coco",C103)),ISNUMBER(SEARCH("Cayo Santa María",C103)),ISNUMBER(SEARCH("Cayo Santa Maria",C103)),ISNUMBER(SEARCH("Cayo Guillermo",C103)),ISNUMBER(SEARCH("Cayo Las Brujas",C103)),ISNUMBER(SEARCH("Cayo Ensenachos",C103)),ISNUMBER(SEARCH("Holguín",C103)),ISNUMBER(SEARCH("Holguin",C103)),ISNUMBER(SEARCH("Havana",C103)),ISNUMBER(SEARCH("Old Havana",C103)),ISNUMBER(SEARCH("Vedado",C103)),ISNUMBER(SEARCH("Miramar",C103))),NOT(ISNUMBER(SEARCH("historical",F103)))),"P103",IF(OR(ISNUMBER(SEARCH("historical",F103)),H103="Low",ISNUMBER(SEARCH("to verify",F103)),ISNUMBER(SEARCH("requires verification",F103))),"Backlog","P104")))))</f>
        <v>P104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342</v>
      </c>
      <c r="B104" s="4"/>
      <c r="C104" s="4" t="s">
        <v>341</v>
      </c>
      <c r="D104" s="4" t="s">
        <v>40</v>
      </c>
      <c r="E104" s="4"/>
      <c r="F104" s="4" t="s">
        <v>568</v>
      </c>
      <c r="G104" s="4" t="s">
        <v>61</v>
      </c>
      <c r="H104" s="4" t="s">
        <v>180</v>
      </c>
      <c r="I104" s="4" t="s">
        <v>569</v>
      </c>
      <c r="J104" s="4" t="s">
        <v>325</v>
      </c>
      <c r="K104" s="4" t="s">
        <v>570</v>
      </c>
      <c r="L104" s="4" t="str">
        <f>IF(A104="","",IF(OR(COUNTIF('Priority Rules'!$A$2:$A$24,A104)&gt;0,COUNTIF('Priority Rules'!$B$2:$B$8,B104)&gt;0),"P103",IF(COUNTIF('Priority Rules'!$C$2:$C$9,A104)&gt;0,"P104",IF(AND(OR(ISNUMBER(SEARCH("Varadero",C104)),ISNUMBER(SEARCH("Cayo Coco",C104)),ISNUMBER(SEARCH("Cayo Santa María",C104)),ISNUMBER(SEARCH("Cayo Santa Maria",C104)),ISNUMBER(SEARCH("Cayo Guillermo",C104)),ISNUMBER(SEARCH("Cayo Las Brujas",C104)),ISNUMBER(SEARCH("Cayo Ensenachos",C104)),ISNUMBER(SEARCH("Holguín",C104)),ISNUMBER(SEARCH("Holguin",C104)),ISNUMBER(SEARCH("Havana",C104)),ISNUMBER(SEARCH("Old Havana",C104)),ISNUMBER(SEARCH("Vedado",C104)),ISNUMBER(SEARCH("Miramar",C104))),NOT(ISNUMBER(SEARCH("historical",F104)))),"P104",IF(OR(ISNUMBER(SEARCH("historical",F104)),H104="Low",ISNUMBER(SEARCH("to verify",F104)),ISNUMBER(SEARCH("requires verification",F104))),"Backlog","P105")))))</f>
        <v>P105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343</v>
      </c>
      <c r="B105" s="4"/>
      <c r="C105" s="4" t="s">
        <v>344</v>
      </c>
      <c r="D105" s="4" t="s">
        <v>40</v>
      </c>
      <c r="E105" s="4"/>
      <c r="F105" s="4" t="s">
        <v>568</v>
      </c>
      <c r="G105" s="4" t="s">
        <v>61</v>
      </c>
      <c r="H105" s="4" t="s">
        <v>180</v>
      </c>
      <c r="I105" s="4" t="s">
        <v>569</v>
      </c>
      <c r="J105" s="4" t="s">
        <v>325</v>
      </c>
      <c r="K105" s="4" t="s">
        <v>570</v>
      </c>
      <c r="L105" s="4" t="str">
        <f>IF(A105="","",IF(OR(COUNTIF('Priority Rules'!$A$2:$A$24,A105)&gt;0,COUNTIF('Priority Rules'!$B$2:$B$8,B105)&gt;0),"P104",IF(COUNTIF('Priority Rules'!$C$2:$C$9,A105)&gt;0,"P105",IF(AND(OR(ISNUMBER(SEARCH("Varadero",C105)),ISNUMBER(SEARCH("Cayo Coco",C105)),ISNUMBER(SEARCH("Cayo Santa María",C105)),ISNUMBER(SEARCH("Cayo Santa Maria",C105)),ISNUMBER(SEARCH("Cayo Guillermo",C105)),ISNUMBER(SEARCH("Cayo Las Brujas",C105)),ISNUMBER(SEARCH("Cayo Ensenachos",C105)),ISNUMBER(SEARCH("Holguín",C105)),ISNUMBER(SEARCH("Holguin",C105)),ISNUMBER(SEARCH("Havana",C105)),ISNUMBER(SEARCH("Old Havana",C105)),ISNUMBER(SEARCH("Vedado",C105)),ISNUMBER(SEARCH("Miramar",C105))),NOT(ISNUMBER(SEARCH("historical",F105)))),"P105",IF(OR(ISNUMBER(SEARCH("historical",F105)),H105="Low",ISNUMBER(SEARCH("to verify",F105)),ISNUMBER(SEARCH("requires verification",F105))),"Backlog","P106")))))</f>
        <v>P106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346</v>
      </c>
      <c r="B106" s="4"/>
      <c r="C106" s="4" t="s">
        <v>344</v>
      </c>
      <c r="D106" s="4" t="s">
        <v>40</v>
      </c>
      <c r="E106" s="4"/>
      <c r="F106" s="4" t="s">
        <v>568</v>
      </c>
      <c r="G106" s="4" t="s">
        <v>61</v>
      </c>
      <c r="H106" s="4" t="s">
        <v>180</v>
      </c>
      <c r="I106" s="4" t="s">
        <v>569</v>
      </c>
      <c r="J106" s="4" t="s">
        <v>325</v>
      </c>
      <c r="K106" s="4" t="s">
        <v>570</v>
      </c>
      <c r="L106" s="4" t="str">
        <f>IF(A106="","",IF(OR(COUNTIF('Priority Rules'!$A$2:$A$24,A106)&gt;0,COUNTIF('Priority Rules'!$B$2:$B$8,B106)&gt;0),"P105",IF(COUNTIF('Priority Rules'!$C$2:$C$9,A106)&gt;0,"P106",IF(AND(OR(ISNUMBER(SEARCH("Varadero",C106)),ISNUMBER(SEARCH("Cayo Coco",C106)),ISNUMBER(SEARCH("Cayo Santa María",C106)),ISNUMBER(SEARCH("Cayo Santa Maria",C106)),ISNUMBER(SEARCH("Cayo Guillermo",C106)),ISNUMBER(SEARCH("Cayo Las Brujas",C106)),ISNUMBER(SEARCH("Cayo Ensenachos",C106)),ISNUMBER(SEARCH("Holguín",C106)),ISNUMBER(SEARCH("Holguin",C106)),ISNUMBER(SEARCH("Havana",C106)),ISNUMBER(SEARCH("Old Havana",C106)),ISNUMBER(SEARCH("Vedado",C106)),ISNUMBER(SEARCH("Miramar",C106))),NOT(ISNUMBER(SEARCH("historical",F106)))),"P106",IF(OR(ISNUMBER(SEARCH("historical",F106)),H106="Low",ISNUMBER(SEARCH("to verify",F106)),ISNUMBER(SEARCH("requires verification",F106))),"Backlog","P107")))))</f>
        <v>P107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347</v>
      </c>
      <c r="B107" s="4"/>
      <c r="C107" s="4" t="s">
        <v>344</v>
      </c>
      <c r="D107" s="4" t="s">
        <v>40</v>
      </c>
      <c r="E107" s="4"/>
      <c r="F107" s="4" t="s">
        <v>568</v>
      </c>
      <c r="G107" s="4" t="s">
        <v>61</v>
      </c>
      <c r="H107" s="4" t="s">
        <v>180</v>
      </c>
      <c r="I107" s="4" t="s">
        <v>569</v>
      </c>
      <c r="J107" s="4" t="s">
        <v>325</v>
      </c>
      <c r="K107" s="4" t="s">
        <v>570</v>
      </c>
      <c r="L107" s="4" t="str">
        <f>IF(A107="","",IF(OR(COUNTIF('Priority Rules'!$A$2:$A$24,A107)&gt;0,COUNTIF('Priority Rules'!$B$2:$B$8,B107)&gt;0),"P106",IF(COUNTIF('Priority Rules'!$C$2:$C$9,A107)&gt;0,"P107",IF(AND(OR(ISNUMBER(SEARCH("Varadero",C107)),ISNUMBER(SEARCH("Cayo Coco",C107)),ISNUMBER(SEARCH("Cayo Santa María",C107)),ISNUMBER(SEARCH("Cayo Santa Maria",C107)),ISNUMBER(SEARCH("Cayo Guillermo",C107)),ISNUMBER(SEARCH("Cayo Las Brujas",C107)),ISNUMBER(SEARCH("Cayo Ensenachos",C107)),ISNUMBER(SEARCH("Holguín",C107)),ISNUMBER(SEARCH("Holguin",C107)),ISNUMBER(SEARCH("Havana",C107)),ISNUMBER(SEARCH("Old Havana",C107)),ISNUMBER(SEARCH("Vedado",C107)),ISNUMBER(SEARCH("Miramar",C107))),NOT(ISNUMBER(SEARCH("historical",F107)))),"P107",IF(OR(ISNUMBER(SEARCH("historical",F107)),H107="Low",ISNUMBER(SEARCH("to verify",F107)),ISNUMBER(SEARCH("requires verification",F107))),"Backlog","P108")))))</f>
        <v>P108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">
        <v>348</v>
      </c>
      <c r="B108" s="4"/>
      <c r="C108" s="4" t="s">
        <v>341</v>
      </c>
      <c r="D108" s="4" t="s">
        <v>40</v>
      </c>
      <c r="E108" s="4"/>
      <c r="F108" s="4" t="s">
        <v>568</v>
      </c>
      <c r="G108" s="4" t="s">
        <v>61</v>
      </c>
      <c r="H108" s="4" t="s">
        <v>180</v>
      </c>
      <c r="I108" s="4" t="s">
        <v>569</v>
      </c>
      <c r="J108" s="4" t="s">
        <v>325</v>
      </c>
      <c r="K108" s="4" t="s">
        <v>570</v>
      </c>
      <c r="L108" s="4" t="str">
        <f>IF(A108="","",IF(OR(COUNTIF('Priority Rules'!$A$2:$A$24,A108)&gt;0,COUNTIF('Priority Rules'!$B$2:$B$8,B108)&gt;0),"P107",IF(COUNTIF('Priority Rules'!$C$2:$C$9,A108)&gt;0,"P108",IF(AND(OR(ISNUMBER(SEARCH("Varadero",C108)),ISNUMBER(SEARCH("Cayo Coco",C108)),ISNUMBER(SEARCH("Cayo Santa María",C108)),ISNUMBER(SEARCH("Cayo Santa Maria",C108)),ISNUMBER(SEARCH("Cayo Guillermo",C108)),ISNUMBER(SEARCH("Cayo Las Brujas",C108)),ISNUMBER(SEARCH("Cayo Ensenachos",C108)),ISNUMBER(SEARCH("Holguín",C108)),ISNUMBER(SEARCH("Holguin",C108)),ISNUMBER(SEARCH("Havana",C108)),ISNUMBER(SEARCH("Old Havana",C108)),ISNUMBER(SEARCH("Vedado",C108)),ISNUMBER(SEARCH("Miramar",C108))),NOT(ISNUMBER(SEARCH("historical",F108)))),"P108",IF(OR(ISNUMBER(SEARCH("historical",F108)),H108="Low",ISNUMBER(SEARCH("to verify",F108)),ISNUMBER(SEARCH("requires verification",F108))),"Backlog","P109")))))</f>
        <v>P109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349</v>
      </c>
      <c r="B109" s="4"/>
      <c r="C109" s="4" t="s">
        <v>350</v>
      </c>
      <c r="D109" s="4" t="s">
        <v>351</v>
      </c>
      <c r="E109" s="4"/>
      <c r="F109" s="4" t="s">
        <v>568</v>
      </c>
      <c r="G109" s="4" t="s">
        <v>61</v>
      </c>
      <c r="H109" s="4" t="s">
        <v>180</v>
      </c>
      <c r="I109" s="4" t="s">
        <v>569</v>
      </c>
      <c r="J109" s="4" t="s">
        <v>352</v>
      </c>
      <c r="K109" s="4" t="s">
        <v>570</v>
      </c>
      <c r="L109" s="4" t="str">
        <f>IF(A109="","",IF(OR(COUNTIF('Priority Rules'!$A$2:$A$24,A109)&gt;0,COUNTIF('Priority Rules'!$B$2:$B$8,B109)&gt;0),"P108",IF(COUNTIF('Priority Rules'!$C$2:$C$9,A109)&gt;0,"P109",IF(AND(OR(ISNUMBER(SEARCH("Varadero",C109)),ISNUMBER(SEARCH("Cayo Coco",C109)),ISNUMBER(SEARCH("Cayo Santa María",C109)),ISNUMBER(SEARCH("Cayo Santa Maria",C109)),ISNUMBER(SEARCH("Cayo Guillermo",C109)),ISNUMBER(SEARCH("Cayo Las Brujas",C109)),ISNUMBER(SEARCH("Cayo Ensenachos",C109)),ISNUMBER(SEARCH("Holguín",C109)),ISNUMBER(SEARCH("Holguin",C109)),ISNUMBER(SEARCH("Havana",C109)),ISNUMBER(SEARCH("Old Havana",C109)),ISNUMBER(SEARCH("Vedado",C109)),ISNUMBER(SEARCH("Miramar",C109))),NOT(ISNUMBER(SEARCH("historical",F109)))),"P109",IF(OR(ISNUMBER(SEARCH("historical",F109)),H109="Low",ISNUMBER(SEARCH("to verify",F109)),ISNUMBER(SEARCH("requires verification",F109))),"Backlog","P110")))))</f>
        <v>P110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353</v>
      </c>
      <c r="B110" s="4"/>
      <c r="C110" s="4" t="s">
        <v>350</v>
      </c>
      <c r="D110" s="4" t="s">
        <v>151</v>
      </c>
      <c r="E110" s="4"/>
      <c r="F110" s="4" t="s">
        <v>568</v>
      </c>
      <c r="G110" s="4" t="s">
        <v>61</v>
      </c>
      <c r="H110" s="4" t="s">
        <v>180</v>
      </c>
      <c r="I110" s="4" t="s">
        <v>569</v>
      </c>
      <c r="J110" s="4" t="s">
        <v>352</v>
      </c>
      <c r="K110" s="4" t="s">
        <v>570</v>
      </c>
      <c r="L110" s="4" t="str">
        <f>IF(A110="","",IF(OR(COUNTIF('Priority Rules'!$A$2:$A$24,A110)&gt;0,COUNTIF('Priority Rules'!$B$2:$B$8,B110)&gt;0),"P109",IF(COUNTIF('Priority Rules'!$C$2:$C$9,A110)&gt;0,"P110",IF(AND(OR(ISNUMBER(SEARCH("Varadero",C110)),ISNUMBER(SEARCH("Cayo Coco",C110)),ISNUMBER(SEARCH("Cayo Santa María",C110)),ISNUMBER(SEARCH("Cayo Santa Maria",C110)),ISNUMBER(SEARCH("Cayo Guillermo",C110)),ISNUMBER(SEARCH("Cayo Las Brujas",C110)),ISNUMBER(SEARCH("Cayo Ensenachos",C110)),ISNUMBER(SEARCH("Holguín",C110)),ISNUMBER(SEARCH("Holguin",C110)),ISNUMBER(SEARCH("Havana",C110)),ISNUMBER(SEARCH("Old Havana",C110)),ISNUMBER(SEARCH("Vedado",C110)),ISNUMBER(SEARCH("Miramar",C110))),NOT(ISNUMBER(SEARCH("historical",F110)))),"P110",IF(OR(ISNUMBER(SEARCH("historical",F110)),H110="Low",ISNUMBER(SEARCH("to verify",F110)),ISNUMBER(SEARCH("requires verification",F110))),"Backlog","P111")))))</f>
        <v>P111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">
        <v>354</v>
      </c>
      <c r="B111" s="4"/>
      <c r="C111" s="4" t="s">
        <v>350</v>
      </c>
      <c r="D111" s="4" t="s">
        <v>355</v>
      </c>
      <c r="E111" s="4"/>
      <c r="F111" s="4" t="s">
        <v>568</v>
      </c>
      <c r="G111" s="4" t="s">
        <v>61</v>
      </c>
      <c r="H111" s="4" t="s">
        <v>180</v>
      </c>
      <c r="I111" s="4" t="s">
        <v>569</v>
      </c>
      <c r="J111" s="4" t="s">
        <v>352</v>
      </c>
      <c r="K111" s="4" t="s">
        <v>570</v>
      </c>
      <c r="L111" s="4" t="str">
        <f>IF(A111="","",IF(OR(COUNTIF('Priority Rules'!$A$2:$A$24,A111)&gt;0,COUNTIF('Priority Rules'!$B$2:$B$8,B111)&gt;0),"P110",IF(COUNTIF('Priority Rules'!$C$2:$C$9,A111)&gt;0,"P111",IF(AND(OR(ISNUMBER(SEARCH("Varadero",C111)),ISNUMBER(SEARCH("Cayo Coco",C111)),ISNUMBER(SEARCH("Cayo Santa María",C111)),ISNUMBER(SEARCH("Cayo Santa Maria",C111)),ISNUMBER(SEARCH("Cayo Guillermo",C111)),ISNUMBER(SEARCH("Cayo Las Brujas",C111)),ISNUMBER(SEARCH("Cayo Ensenachos",C111)),ISNUMBER(SEARCH("Holguín",C111)),ISNUMBER(SEARCH("Holguin",C111)),ISNUMBER(SEARCH("Havana",C111)),ISNUMBER(SEARCH("Old Havana",C111)),ISNUMBER(SEARCH("Vedado",C111)),ISNUMBER(SEARCH("Miramar",C111))),NOT(ISNUMBER(SEARCH("historical",F111)))),"P111",IF(OR(ISNUMBER(SEARCH("historical",F111)),H111="Low",ISNUMBER(SEARCH("to verify",F111)),ISNUMBER(SEARCH("requires verification",F111))),"Backlog","P112")))))</f>
        <v>P112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">
        <v>356</v>
      </c>
      <c r="B112" s="4"/>
      <c r="C112" s="4" t="s">
        <v>324</v>
      </c>
      <c r="D112" s="4" t="s">
        <v>357</v>
      </c>
      <c r="E112" s="4"/>
      <c r="F112" s="4" t="s">
        <v>568</v>
      </c>
      <c r="G112" s="4" t="s">
        <v>61</v>
      </c>
      <c r="H112" s="4" t="s">
        <v>180</v>
      </c>
      <c r="I112" s="4" t="s">
        <v>569</v>
      </c>
      <c r="J112" s="4" t="s">
        <v>325</v>
      </c>
      <c r="K112" s="4" t="s">
        <v>570</v>
      </c>
      <c r="L112" s="4" t="str">
        <f>IF(A112="","",IF(OR(COUNTIF('Priority Rules'!$A$2:$A$24,A112)&gt;0,COUNTIF('Priority Rules'!$B$2:$B$8,B112)&gt;0),"P111",IF(COUNTIF('Priority Rules'!$C$2:$C$9,A112)&gt;0,"P112",IF(AND(OR(ISNUMBER(SEARCH("Varadero",C112)),ISNUMBER(SEARCH("Cayo Coco",C112)),ISNUMBER(SEARCH("Cayo Santa María",C112)),ISNUMBER(SEARCH("Cayo Santa Maria",C112)),ISNUMBER(SEARCH("Cayo Guillermo",C112)),ISNUMBER(SEARCH("Cayo Las Brujas",C112)),ISNUMBER(SEARCH("Cayo Ensenachos",C112)),ISNUMBER(SEARCH("Holguín",C112)),ISNUMBER(SEARCH("Holguin",C112)),ISNUMBER(SEARCH("Havana",C112)),ISNUMBER(SEARCH("Old Havana",C112)),ISNUMBER(SEARCH("Vedado",C112)),ISNUMBER(SEARCH("Miramar",C112))),NOT(ISNUMBER(SEARCH("historical",F112)))),"P112",IF(OR(ISNUMBER(SEARCH("historical",F112)),H112="Low",ISNUMBER(SEARCH("to verify",F112)),ISNUMBER(SEARCH("requires verification",F112))),"Backlog","P113")))))</f>
        <v>P112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191</v>
      </c>
      <c r="B113" s="4"/>
      <c r="C113" s="4" t="s">
        <v>260</v>
      </c>
      <c r="D113" s="4" t="s">
        <v>40</v>
      </c>
      <c r="E113" s="4"/>
      <c r="F113" s="4" t="s">
        <v>568</v>
      </c>
      <c r="G113" s="4" t="s">
        <v>61</v>
      </c>
      <c r="H113" s="4" t="s">
        <v>180</v>
      </c>
      <c r="I113" s="4" t="s">
        <v>569</v>
      </c>
      <c r="J113" s="4" t="s">
        <v>358</v>
      </c>
      <c r="K113" s="4" t="s">
        <v>570</v>
      </c>
      <c r="L113" s="4" t="str">
        <f>IF(A113="","",IF(OR(COUNTIF('Priority Rules'!$A$2:$A$24,A113)&gt;0,COUNTIF('Priority Rules'!$B$2:$B$8,B113)&gt;0),"P112",IF(COUNTIF('Priority Rules'!$C$2:$C$9,A113)&gt;0,"P113",IF(AND(OR(ISNUMBER(SEARCH("Varadero",C113)),ISNUMBER(SEARCH("Cayo Coco",C113)),ISNUMBER(SEARCH("Cayo Santa María",C113)),ISNUMBER(SEARCH("Cayo Santa Maria",C113)),ISNUMBER(SEARCH("Cayo Guillermo",C113)),ISNUMBER(SEARCH("Cayo Las Brujas",C113)),ISNUMBER(SEARCH("Cayo Ensenachos",C113)),ISNUMBER(SEARCH("Holguín",C113)),ISNUMBER(SEARCH("Holguin",C113)),ISNUMBER(SEARCH("Havana",C113)),ISNUMBER(SEARCH("Old Havana",C113)),ISNUMBER(SEARCH("Vedado",C113)),ISNUMBER(SEARCH("Miramar",C113))),NOT(ISNUMBER(SEARCH("historical",F113)))),"P113",IF(OR(ISNUMBER(SEARCH("historical",F113)),H113="Low",ISNUMBER(SEARCH("to verify",F113)),ISNUMBER(SEARCH("requires verification",F113))),"Backlog","P114")))))</f>
        <v>P114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">
        <v>360</v>
      </c>
      <c r="B114" s="4"/>
      <c r="C114" s="4" t="s">
        <v>361</v>
      </c>
      <c r="D114" s="4" t="s">
        <v>135</v>
      </c>
      <c r="E114" s="4"/>
      <c r="F114" s="4" t="s">
        <v>568</v>
      </c>
      <c r="G114" s="4" t="s">
        <v>61</v>
      </c>
      <c r="H114" s="4" t="s">
        <v>180</v>
      </c>
      <c r="I114" s="4" t="s">
        <v>569</v>
      </c>
      <c r="J114" s="4" t="s">
        <v>358</v>
      </c>
      <c r="K114" s="4" t="s">
        <v>570</v>
      </c>
      <c r="L114" s="4" t="str">
        <f>IF(A114="","",IF(OR(COUNTIF('Priority Rules'!$A$2:$A$24,A114)&gt;0,COUNTIF('Priority Rules'!$B$2:$B$8,B114)&gt;0),"P113",IF(COUNTIF('Priority Rules'!$C$2:$C$9,A114)&gt;0,"P114",IF(AND(OR(ISNUMBER(SEARCH("Varadero",C114)),ISNUMBER(SEARCH("Cayo Coco",C114)),ISNUMBER(SEARCH("Cayo Santa María",C114)),ISNUMBER(SEARCH("Cayo Santa Maria",C114)),ISNUMBER(SEARCH("Cayo Guillermo",C114)),ISNUMBER(SEARCH("Cayo Las Brujas",C114)),ISNUMBER(SEARCH("Cayo Ensenachos",C114)),ISNUMBER(SEARCH("Holguín",C114)),ISNUMBER(SEARCH("Holguin",C114)),ISNUMBER(SEARCH("Havana",C114)),ISNUMBER(SEARCH("Old Havana",C114)),ISNUMBER(SEARCH("Vedado",C114)),ISNUMBER(SEARCH("Miramar",C114))),NOT(ISNUMBER(SEARCH("historical",F114)))),"P114",IF(OR(ISNUMBER(SEARCH("historical",F114)),H114="Low",ISNUMBER(SEARCH("to verify",F114)),ISNUMBER(SEARCH("requires verification",F114))),"Backlog","P115")))))</f>
        <v>P115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362</v>
      </c>
      <c r="B115" s="4"/>
      <c r="C115" s="4" t="s">
        <v>361</v>
      </c>
      <c r="D115" s="4" t="s">
        <v>135</v>
      </c>
      <c r="E115" s="4"/>
      <c r="F115" s="4" t="s">
        <v>568</v>
      </c>
      <c r="G115" s="4" t="s">
        <v>61</v>
      </c>
      <c r="H115" s="4" t="s">
        <v>180</v>
      </c>
      <c r="I115" s="4" t="s">
        <v>569</v>
      </c>
      <c r="J115" s="4" t="s">
        <v>358</v>
      </c>
      <c r="K115" s="4" t="s">
        <v>570</v>
      </c>
      <c r="L115" s="4" t="str">
        <f>IF(A115="","",IF(OR(COUNTIF('Priority Rules'!$A$2:$A$24,A115)&gt;0,COUNTIF('Priority Rules'!$B$2:$B$8,B115)&gt;0),"P114",IF(COUNTIF('Priority Rules'!$C$2:$C$9,A115)&gt;0,"P115",IF(AND(OR(ISNUMBER(SEARCH("Varadero",C115)),ISNUMBER(SEARCH("Cayo Coco",C115)),ISNUMBER(SEARCH("Cayo Santa María",C115)),ISNUMBER(SEARCH("Cayo Santa Maria",C115)),ISNUMBER(SEARCH("Cayo Guillermo",C115)),ISNUMBER(SEARCH("Cayo Las Brujas",C115)),ISNUMBER(SEARCH("Cayo Ensenachos",C115)),ISNUMBER(SEARCH("Holguín",C115)),ISNUMBER(SEARCH("Holguin",C115)),ISNUMBER(SEARCH("Havana",C115)),ISNUMBER(SEARCH("Old Havana",C115)),ISNUMBER(SEARCH("Vedado",C115)),ISNUMBER(SEARCH("Miramar",C115))),NOT(ISNUMBER(SEARCH("historical",F115)))),"P115",IF(OR(ISNUMBER(SEARCH("historical",F115)),H115="Low",ISNUMBER(SEARCH("to verify",F115)),ISNUMBER(SEARCH("requires verification",F115))),"Backlog","P116")))))</f>
        <v>P116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363</v>
      </c>
      <c r="B116" s="4"/>
      <c r="C116" s="4" t="s">
        <v>88</v>
      </c>
      <c r="D116" s="4" t="s">
        <v>135</v>
      </c>
      <c r="E116" s="4"/>
      <c r="F116" s="4" t="s">
        <v>568</v>
      </c>
      <c r="G116" s="4" t="s">
        <v>61</v>
      </c>
      <c r="H116" s="4" t="s">
        <v>180</v>
      </c>
      <c r="I116" s="4" t="s">
        <v>569</v>
      </c>
      <c r="J116" s="4" t="s">
        <v>364</v>
      </c>
      <c r="K116" s="4" t="s">
        <v>570</v>
      </c>
      <c r="L116" s="4" t="str">
        <f>IF(A116="","",IF(OR(COUNTIF('Priority Rules'!$A$2:$A$24,A116)&gt;0,COUNTIF('Priority Rules'!$B$2:$B$8,B116)&gt;0),"P115",IF(COUNTIF('Priority Rules'!$C$2:$C$9,A116)&gt;0,"P116",IF(AND(OR(ISNUMBER(SEARCH("Varadero",C116)),ISNUMBER(SEARCH("Cayo Coco",C116)),ISNUMBER(SEARCH("Cayo Santa María",C116)),ISNUMBER(SEARCH("Cayo Santa Maria",C116)),ISNUMBER(SEARCH("Cayo Guillermo",C116)),ISNUMBER(SEARCH("Cayo Las Brujas",C116)),ISNUMBER(SEARCH("Cayo Ensenachos",C116)),ISNUMBER(SEARCH("Holguín",C116)),ISNUMBER(SEARCH("Holguin",C116)),ISNUMBER(SEARCH("Havana",C116)),ISNUMBER(SEARCH("Old Havana",C116)),ISNUMBER(SEARCH("Vedado",C116)),ISNUMBER(SEARCH("Miramar",C116))),NOT(ISNUMBER(SEARCH("historical",F116)))),"P116",IF(OR(ISNUMBER(SEARCH("historical",F116)),H116="Low",ISNUMBER(SEARCH("to verify",F116)),ISNUMBER(SEARCH("requires verification",F116))),"Backlog","P117")))))</f>
        <v>P117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365</v>
      </c>
      <c r="B117" s="4"/>
      <c r="C117" s="4" t="s">
        <v>88</v>
      </c>
      <c r="D117" s="4" t="s">
        <v>135</v>
      </c>
      <c r="E117" s="4"/>
      <c r="F117" s="4" t="s">
        <v>568</v>
      </c>
      <c r="G117" s="4" t="s">
        <v>61</v>
      </c>
      <c r="H117" s="4" t="s">
        <v>180</v>
      </c>
      <c r="I117" s="4" t="s">
        <v>569</v>
      </c>
      <c r="J117" s="4" t="s">
        <v>364</v>
      </c>
      <c r="K117" s="4" t="s">
        <v>570</v>
      </c>
      <c r="L117" s="4" t="str">
        <f>IF(A117="","",IF(OR(COUNTIF('Priority Rules'!$A$2:$A$24,A117)&gt;0,COUNTIF('Priority Rules'!$B$2:$B$8,B117)&gt;0),"P116",IF(COUNTIF('Priority Rules'!$C$2:$C$9,A117)&gt;0,"P117",IF(AND(OR(ISNUMBER(SEARCH("Varadero",C117)),ISNUMBER(SEARCH("Cayo Coco",C117)),ISNUMBER(SEARCH("Cayo Santa María",C117)),ISNUMBER(SEARCH("Cayo Santa Maria",C117)),ISNUMBER(SEARCH("Cayo Guillermo",C117)),ISNUMBER(SEARCH("Cayo Las Brujas",C117)),ISNUMBER(SEARCH("Cayo Ensenachos",C117)),ISNUMBER(SEARCH("Holguín",C117)),ISNUMBER(SEARCH("Holguin",C117)),ISNUMBER(SEARCH("Havana",C117)),ISNUMBER(SEARCH("Old Havana",C117)),ISNUMBER(SEARCH("Vedado",C117)),ISNUMBER(SEARCH("Miramar",C117))),NOT(ISNUMBER(SEARCH("historical",F117)))),"P117",IF(OR(ISNUMBER(SEARCH("historical",F117)),H117="Low",ISNUMBER(SEARCH("to verify",F117)),ISNUMBER(SEARCH("requires verification",F117))),"Backlog","P118")))))</f>
        <v>P118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366</v>
      </c>
      <c r="B118" s="4"/>
      <c r="C118" s="4" t="s">
        <v>88</v>
      </c>
      <c r="D118" s="4" t="s">
        <v>135</v>
      </c>
      <c r="E118" s="4"/>
      <c r="F118" s="4" t="s">
        <v>568</v>
      </c>
      <c r="G118" s="4" t="s">
        <v>61</v>
      </c>
      <c r="H118" s="4" t="s">
        <v>180</v>
      </c>
      <c r="I118" s="4" t="s">
        <v>569</v>
      </c>
      <c r="J118" s="4" t="s">
        <v>364</v>
      </c>
      <c r="K118" s="4" t="s">
        <v>570</v>
      </c>
      <c r="L118" s="4" t="str">
        <f>IF(A118="","",IF(OR(COUNTIF('Priority Rules'!$A$2:$A$24,A118)&gt;0,COUNTIF('Priority Rules'!$B$2:$B$8,B118)&gt;0),"P117",IF(COUNTIF('Priority Rules'!$C$2:$C$9,A118)&gt;0,"P118",IF(AND(OR(ISNUMBER(SEARCH("Varadero",C118)),ISNUMBER(SEARCH("Cayo Coco",C118)),ISNUMBER(SEARCH("Cayo Santa María",C118)),ISNUMBER(SEARCH("Cayo Santa Maria",C118)),ISNUMBER(SEARCH("Cayo Guillermo",C118)),ISNUMBER(SEARCH("Cayo Las Brujas",C118)),ISNUMBER(SEARCH("Cayo Ensenachos",C118)),ISNUMBER(SEARCH("Holguín",C118)),ISNUMBER(SEARCH("Holguin",C118)),ISNUMBER(SEARCH("Havana",C118)),ISNUMBER(SEARCH("Old Havana",C118)),ISNUMBER(SEARCH("Vedado",C118)),ISNUMBER(SEARCH("Miramar",C118))),NOT(ISNUMBER(SEARCH("historical",F118)))),"P118",IF(OR(ISNUMBER(SEARCH("historical",F118)),H118="Low",ISNUMBER(SEARCH("to verify",F118)),ISNUMBER(SEARCH("requires verification",F118))),"Backlog","P119")))))</f>
        <v>P119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367</v>
      </c>
      <c r="B119" s="4"/>
      <c r="C119" s="4" t="s">
        <v>88</v>
      </c>
      <c r="D119" s="4" t="s">
        <v>135</v>
      </c>
      <c r="E119" s="4"/>
      <c r="F119" s="4" t="s">
        <v>568</v>
      </c>
      <c r="G119" s="4" t="s">
        <v>61</v>
      </c>
      <c r="H119" s="4" t="s">
        <v>180</v>
      </c>
      <c r="I119" s="4" t="s">
        <v>569</v>
      </c>
      <c r="J119" s="4" t="s">
        <v>364</v>
      </c>
      <c r="K119" s="4" t="s">
        <v>570</v>
      </c>
      <c r="L119" s="4" t="str">
        <f>IF(A119="","",IF(OR(COUNTIF('Priority Rules'!$A$2:$A$24,A119)&gt;0,COUNTIF('Priority Rules'!$B$2:$B$8,B119)&gt;0),"P118",IF(COUNTIF('Priority Rules'!$C$2:$C$9,A119)&gt;0,"P119",IF(AND(OR(ISNUMBER(SEARCH("Varadero",C119)),ISNUMBER(SEARCH("Cayo Coco",C119)),ISNUMBER(SEARCH("Cayo Santa María",C119)),ISNUMBER(SEARCH("Cayo Santa Maria",C119)),ISNUMBER(SEARCH("Cayo Guillermo",C119)),ISNUMBER(SEARCH("Cayo Las Brujas",C119)),ISNUMBER(SEARCH("Cayo Ensenachos",C119)),ISNUMBER(SEARCH("Holguín",C119)),ISNUMBER(SEARCH("Holguin",C119)),ISNUMBER(SEARCH("Havana",C119)),ISNUMBER(SEARCH("Old Havana",C119)),ISNUMBER(SEARCH("Vedado",C119)),ISNUMBER(SEARCH("Miramar",C119))),NOT(ISNUMBER(SEARCH("historical",F119)))),"P119",IF(OR(ISNUMBER(SEARCH("historical",F119)),H119="Low",ISNUMBER(SEARCH("to verify",F119)),ISNUMBER(SEARCH("requires verification",F119))),"Backlog","P120")))))</f>
        <v>P120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372</v>
      </c>
      <c r="B120" s="4"/>
      <c r="C120" s="4" t="s">
        <v>88</v>
      </c>
      <c r="D120" s="4" t="s">
        <v>135</v>
      </c>
      <c r="E120" s="4"/>
      <c r="F120" s="4" t="s">
        <v>568</v>
      </c>
      <c r="G120" s="4" t="s">
        <v>61</v>
      </c>
      <c r="H120" s="4" t="s">
        <v>180</v>
      </c>
      <c r="I120" s="4" t="s">
        <v>569</v>
      </c>
      <c r="J120" s="4" t="s">
        <v>364</v>
      </c>
      <c r="K120" s="4" t="s">
        <v>570</v>
      </c>
      <c r="L120" s="4" t="str">
        <f>IF(A120="","",IF(OR(COUNTIF('Priority Rules'!$A$2:$A$24,A120)&gt;0,COUNTIF('Priority Rules'!$B$2:$B$8,B120)&gt;0),"P119",IF(COUNTIF('Priority Rules'!$C$2:$C$9,A120)&gt;0,"P120",IF(AND(OR(ISNUMBER(SEARCH("Varadero",C120)),ISNUMBER(SEARCH("Cayo Coco",C120)),ISNUMBER(SEARCH("Cayo Santa María",C120)),ISNUMBER(SEARCH("Cayo Santa Maria",C120)),ISNUMBER(SEARCH("Cayo Guillermo",C120)),ISNUMBER(SEARCH("Cayo Las Brujas",C120)),ISNUMBER(SEARCH("Cayo Ensenachos",C120)),ISNUMBER(SEARCH("Holguín",C120)),ISNUMBER(SEARCH("Holguin",C120)),ISNUMBER(SEARCH("Havana",C120)),ISNUMBER(SEARCH("Old Havana",C120)),ISNUMBER(SEARCH("Vedado",C120)),ISNUMBER(SEARCH("Miramar",C120))),NOT(ISNUMBER(SEARCH("historical",F120)))),"P120",IF(OR(ISNUMBER(SEARCH("historical",F120)),H120="Low",ISNUMBER(SEARCH("to verify",F120)),ISNUMBER(SEARCH("requires verification",F120))),"Backlog","P121")))))</f>
        <v>P121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374</v>
      </c>
      <c r="B121" s="4"/>
      <c r="C121" s="4" t="s">
        <v>375</v>
      </c>
      <c r="D121" s="4" t="s">
        <v>40</v>
      </c>
      <c r="E121" s="4"/>
      <c r="F121" s="4" t="s">
        <v>568</v>
      </c>
      <c r="G121" s="4" t="s">
        <v>61</v>
      </c>
      <c r="H121" s="4" t="s">
        <v>180</v>
      </c>
      <c r="I121" s="4" t="s">
        <v>569</v>
      </c>
      <c r="J121" s="4" t="s">
        <v>376</v>
      </c>
      <c r="K121" s="4" t="s">
        <v>570</v>
      </c>
      <c r="L121" s="4" t="str">
        <f>IF(A121="","",IF(OR(COUNTIF('Priority Rules'!$A$2:$A$24,A121)&gt;0,COUNTIF('Priority Rules'!$B$2:$B$8,B121)&gt;0),"P120",IF(COUNTIF('Priority Rules'!$C$2:$C$9,A121)&gt;0,"P121",IF(AND(OR(ISNUMBER(SEARCH("Varadero",C121)),ISNUMBER(SEARCH("Cayo Coco",C121)),ISNUMBER(SEARCH("Cayo Santa María",C121)),ISNUMBER(SEARCH("Cayo Santa Maria",C121)),ISNUMBER(SEARCH("Cayo Guillermo",C121)),ISNUMBER(SEARCH("Cayo Las Brujas",C121)),ISNUMBER(SEARCH("Cayo Ensenachos",C121)),ISNUMBER(SEARCH("Holguín",C121)),ISNUMBER(SEARCH("Holguin",C121)),ISNUMBER(SEARCH("Havana",C121)),ISNUMBER(SEARCH("Old Havana",C121)),ISNUMBER(SEARCH("Vedado",C121)),ISNUMBER(SEARCH("Miramar",C121))),NOT(ISNUMBER(SEARCH("historical",F121)))),"P121",IF(OR(ISNUMBER(SEARCH("historical",F121)),H121="Low",ISNUMBER(SEARCH("to verify",F121)),ISNUMBER(SEARCH("requires verification",F121))),"Backlog","P122")))))</f>
        <v>P122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377</v>
      </c>
      <c r="B122" s="4"/>
      <c r="C122" s="4" t="s">
        <v>378</v>
      </c>
      <c r="D122" s="4" t="s">
        <v>151</v>
      </c>
      <c r="E122" s="4"/>
      <c r="F122" s="4" t="s">
        <v>568</v>
      </c>
      <c r="G122" s="4" t="s">
        <v>61</v>
      </c>
      <c r="H122" s="4" t="s">
        <v>180</v>
      </c>
      <c r="I122" s="4" t="s">
        <v>569</v>
      </c>
      <c r="J122" s="4" t="s">
        <v>379</v>
      </c>
      <c r="K122" s="4" t="s">
        <v>570</v>
      </c>
      <c r="L122" s="4" t="str">
        <f>IF(A122="","",IF(OR(COUNTIF('Priority Rules'!$A$2:$A$24,A122)&gt;0,COUNTIF('Priority Rules'!$B$2:$B$8,B122)&gt;0),"P121",IF(COUNTIF('Priority Rules'!$C$2:$C$9,A122)&gt;0,"P122",IF(AND(OR(ISNUMBER(SEARCH("Varadero",C122)),ISNUMBER(SEARCH("Cayo Coco",C122)),ISNUMBER(SEARCH("Cayo Santa María",C122)),ISNUMBER(SEARCH("Cayo Santa Maria",C122)),ISNUMBER(SEARCH("Cayo Guillermo",C122)),ISNUMBER(SEARCH("Cayo Las Brujas",C122)),ISNUMBER(SEARCH("Cayo Ensenachos",C122)),ISNUMBER(SEARCH("Holguín",C122)),ISNUMBER(SEARCH("Holguin",C122)),ISNUMBER(SEARCH("Havana",C122)),ISNUMBER(SEARCH("Old Havana",C122)),ISNUMBER(SEARCH("Vedado",C122)),ISNUMBER(SEARCH("Miramar",C122))),NOT(ISNUMBER(SEARCH("historical",F122)))),"P122",IF(OR(ISNUMBER(SEARCH("historical",F122)),H122="Low",ISNUMBER(SEARCH("to verify",F122)),ISNUMBER(SEARCH("requires verification",F122))),"Backlog","P123")))))</f>
        <v>P123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">
        <v>381</v>
      </c>
      <c r="B123" s="4"/>
      <c r="C123" s="4" t="s">
        <v>378</v>
      </c>
      <c r="D123" s="4" t="s">
        <v>336</v>
      </c>
      <c r="E123" s="4"/>
      <c r="F123" s="4" t="s">
        <v>568</v>
      </c>
      <c r="G123" s="4" t="s">
        <v>61</v>
      </c>
      <c r="H123" s="4" t="s">
        <v>180</v>
      </c>
      <c r="I123" s="4" t="s">
        <v>569</v>
      </c>
      <c r="J123" s="4" t="s">
        <v>379</v>
      </c>
      <c r="K123" s="4" t="s">
        <v>570</v>
      </c>
      <c r="L123" s="4" t="str">
        <f>IF(A123="","",IF(OR(COUNTIF('Priority Rules'!$A$2:$A$24,A123)&gt;0,COUNTIF('Priority Rules'!$B$2:$B$8,B123)&gt;0),"P122",IF(COUNTIF('Priority Rules'!$C$2:$C$9,A123)&gt;0,"P123",IF(AND(OR(ISNUMBER(SEARCH("Varadero",C123)),ISNUMBER(SEARCH("Cayo Coco",C123)),ISNUMBER(SEARCH("Cayo Santa María",C123)),ISNUMBER(SEARCH("Cayo Santa Maria",C123)),ISNUMBER(SEARCH("Cayo Guillermo",C123)),ISNUMBER(SEARCH("Cayo Las Brujas",C123)),ISNUMBER(SEARCH("Cayo Ensenachos",C123)),ISNUMBER(SEARCH("Holguín",C123)),ISNUMBER(SEARCH("Holguin",C123)),ISNUMBER(SEARCH("Havana",C123)),ISNUMBER(SEARCH("Old Havana",C123)),ISNUMBER(SEARCH("Vedado",C123)),ISNUMBER(SEARCH("Miramar",C123))),NOT(ISNUMBER(SEARCH("historical",F123)))),"P123",IF(OR(ISNUMBER(SEARCH("historical",F123)),H123="Low",ISNUMBER(SEARCH("to verify",F123)),ISNUMBER(SEARCH("requires verification",F123))),"Backlog","P124")))))</f>
        <v>P124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">
        <v>383</v>
      </c>
      <c r="B124" s="4"/>
      <c r="C124" s="4" t="s">
        <v>378</v>
      </c>
      <c r="D124" s="4" t="s">
        <v>336</v>
      </c>
      <c r="E124" s="4"/>
      <c r="F124" s="4" t="s">
        <v>568</v>
      </c>
      <c r="G124" s="4" t="s">
        <v>61</v>
      </c>
      <c r="H124" s="4" t="s">
        <v>180</v>
      </c>
      <c r="I124" s="4" t="s">
        <v>569</v>
      </c>
      <c r="J124" s="4" t="s">
        <v>379</v>
      </c>
      <c r="K124" s="4" t="s">
        <v>570</v>
      </c>
      <c r="L124" s="4" t="str">
        <f>IF(A124="","",IF(OR(COUNTIF('Priority Rules'!$A$2:$A$24,A124)&gt;0,COUNTIF('Priority Rules'!$B$2:$B$8,B124)&gt;0),"P123",IF(COUNTIF('Priority Rules'!$C$2:$C$9,A124)&gt;0,"P124",IF(AND(OR(ISNUMBER(SEARCH("Varadero",C124)),ISNUMBER(SEARCH("Cayo Coco",C124)),ISNUMBER(SEARCH("Cayo Santa María",C124)),ISNUMBER(SEARCH("Cayo Santa Maria",C124)),ISNUMBER(SEARCH("Cayo Guillermo",C124)),ISNUMBER(SEARCH("Cayo Las Brujas",C124)),ISNUMBER(SEARCH("Cayo Ensenachos",C124)),ISNUMBER(SEARCH("Holguín",C124)),ISNUMBER(SEARCH("Holguin",C124)),ISNUMBER(SEARCH("Havana",C124)),ISNUMBER(SEARCH("Old Havana",C124)),ISNUMBER(SEARCH("Vedado",C124)),ISNUMBER(SEARCH("Miramar",C124))),NOT(ISNUMBER(SEARCH("historical",F124)))),"P124",IF(OR(ISNUMBER(SEARCH("historical",F124)),H124="Low",ISNUMBER(SEARCH("to verify",F124)),ISNUMBER(SEARCH("requires verification",F124))),"Backlog","P125")))))</f>
        <v>P125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">
        <v>385</v>
      </c>
      <c r="B125" s="4"/>
      <c r="C125" s="4" t="s">
        <v>252</v>
      </c>
      <c r="D125" s="4" t="s">
        <v>40</v>
      </c>
      <c r="E125" s="4"/>
      <c r="F125" s="4" t="s">
        <v>568</v>
      </c>
      <c r="G125" s="4" t="s">
        <v>61</v>
      </c>
      <c r="H125" s="4" t="s">
        <v>180</v>
      </c>
      <c r="I125" s="4" t="s">
        <v>569</v>
      </c>
      <c r="J125" s="4" t="s">
        <v>379</v>
      </c>
      <c r="K125" s="4" t="s">
        <v>570</v>
      </c>
      <c r="L125" s="4" t="str">
        <f>IF(A125="","",IF(OR(COUNTIF('Priority Rules'!$A$2:$A$24,A125)&gt;0,COUNTIF('Priority Rules'!$B$2:$B$8,B125)&gt;0),"P124",IF(COUNTIF('Priority Rules'!$C$2:$C$9,A125)&gt;0,"P125",IF(AND(OR(ISNUMBER(SEARCH("Varadero",C125)),ISNUMBER(SEARCH("Cayo Coco",C125)),ISNUMBER(SEARCH("Cayo Santa María",C125)),ISNUMBER(SEARCH("Cayo Santa Maria",C125)),ISNUMBER(SEARCH("Cayo Guillermo",C125)),ISNUMBER(SEARCH("Cayo Las Brujas",C125)),ISNUMBER(SEARCH("Cayo Ensenachos",C125)),ISNUMBER(SEARCH("Holguín",C125)),ISNUMBER(SEARCH("Holguin",C125)),ISNUMBER(SEARCH("Havana",C125)),ISNUMBER(SEARCH("Old Havana",C125)),ISNUMBER(SEARCH("Vedado",C125)),ISNUMBER(SEARCH("Miramar",C125))),NOT(ISNUMBER(SEARCH("historical",F125)))),"P125",IF(OR(ISNUMBER(SEARCH("historical",F125)),H125="Low",ISNUMBER(SEARCH("to verify",F125)),ISNUMBER(SEARCH("requires verification",F125))),"Backlog","P126")))))</f>
        <v>P126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">
        <v>386</v>
      </c>
      <c r="B126" s="4"/>
      <c r="C126" s="4" t="s">
        <v>387</v>
      </c>
      <c r="D126" s="4" t="s">
        <v>40</v>
      </c>
      <c r="E126" s="4"/>
      <c r="F126" s="4" t="s">
        <v>568</v>
      </c>
      <c r="G126" s="4" t="s">
        <v>61</v>
      </c>
      <c r="H126" s="4" t="s">
        <v>180</v>
      </c>
      <c r="I126" s="4" t="s">
        <v>569</v>
      </c>
      <c r="J126" s="4" t="s">
        <v>379</v>
      </c>
      <c r="K126" s="4" t="s">
        <v>570</v>
      </c>
      <c r="L126" s="4" t="str">
        <f>IF(A126="","",IF(OR(COUNTIF('Priority Rules'!$A$2:$A$24,A126)&gt;0,COUNTIF('Priority Rules'!$B$2:$B$8,B126)&gt;0),"P125",IF(COUNTIF('Priority Rules'!$C$2:$C$9,A126)&gt;0,"P126",IF(AND(OR(ISNUMBER(SEARCH("Varadero",C126)),ISNUMBER(SEARCH("Cayo Coco",C126)),ISNUMBER(SEARCH("Cayo Santa María",C126)),ISNUMBER(SEARCH("Cayo Santa Maria",C126)),ISNUMBER(SEARCH("Cayo Guillermo",C126)),ISNUMBER(SEARCH("Cayo Las Brujas",C126)),ISNUMBER(SEARCH("Cayo Ensenachos",C126)),ISNUMBER(SEARCH("Holguín",C126)),ISNUMBER(SEARCH("Holguin",C126)),ISNUMBER(SEARCH("Havana",C126)),ISNUMBER(SEARCH("Old Havana",C126)),ISNUMBER(SEARCH("Vedado",C126)),ISNUMBER(SEARCH("Miramar",C126))),NOT(ISNUMBER(SEARCH("historical",F126)))),"P126",IF(OR(ISNUMBER(SEARCH("historical",F126)),H126="Low",ISNUMBER(SEARCH("to verify",F126)),ISNUMBER(SEARCH("requires verification",F126))),"Backlog","P127")))))</f>
        <v>P127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">
        <v>390</v>
      </c>
      <c r="B127" s="4"/>
      <c r="C127" s="4" t="s">
        <v>391</v>
      </c>
      <c r="D127" s="4" t="s">
        <v>40</v>
      </c>
      <c r="E127" s="4"/>
      <c r="F127" s="4" t="s">
        <v>568</v>
      </c>
      <c r="G127" s="4" t="s">
        <v>61</v>
      </c>
      <c r="H127" s="4" t="s">
        <v>180</v>
      </c>
      <c r="I127" s="4" t="s">
        <v>569</v>
      </c>
      <c r="J127" s="4" t="s">
        <v>379</v>
      </c>
      <c r="K127" s="4" t="s">
        <v>570</v>
      </c>
      <c r="L127" s="4" t="str">
        <f>IF(A127="","",IF(OR(COUNTIF('Priority Rules'!$A$2:$A$24,A127)&gt;0,COUNTIF('Priority Rules'!$B$2:$B$8,B127)&gt;0),"P126",IF(COUNTIF('Priority Rules'!$C$2:$C$9,A127)&gt;0,"P127",IF(AND(OR(ISNUMBER(SEARCH("Varadero",C127)),ISNUMBER(SEARCH("Cayo Coco",C127)),ISNUMBER(SEARCH("Cayo Santa María",C127)),ISNUMBER(SEARCH("Cayo Santa Maria",C127)),ISNUMBER(SEARCH("Cayo Guillermo",C127)),ISNUMBER(SEARCH("Cayo Las Brujas",C127)),ISNUMBER(SEARCH("Cayo Ensenachos",C127)),ISNUMBER(SEARCH("Holguín",C127)),ISNUMBER(SEARCH("Holguin",C127)),ISNUMBER(SEARCH("Havana",C127)),ISNUMBER(SEARCH("Old Havana",C127)),ISNUMBER(SEARCH("Vedado",C127)),ISNUMBER(SEARCH("Miramar",C127))),NOT(ISNUMBER(SEARCH("historical",F127)))),"P127",IF(OR(ISNUMBER(SEARCH("historical",F127)),H127="Low",ISNUMBER(SEARCH("to verify",F127)),ISNUMBER(SEARCH("requires verification",F127))),"Backlog","P128")))))</f>
        <v>P128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">
        <v>108</v>
      </c>
      <c r="B128" s="4"/>
      <c r="C128" s="4" t="s">
        <v>392</v>
      </c>
      <c r="D128" s="4" t="s">
        <v>40</v>
      </c>
      <c r="E128" s="4"/>
      <c r="F128" s="4" t="s">
        <v>568</v>
      </c>
      <c r="G128" s="4" t="s">
        <v>61</v>
      </c>
      <c r="H128" s="4" t="s">
        <v>180</v>
      </c>
      <c r="I128" s="4" t="s">
        <v>569</v>
      </c>
      <c r="J128" s="4" t="s">
        <v>379</v>
      </c>
      <c r="K128" s="4" t="s">
        <v>570</v>
      </c>
      <c r="L128" s="4" t="str">
        <f>IF(A128="","",IF(OR(COUNTIF('Priority Rules'!$A$2:$A$24,A128)&gt;0,COUNTIF('Priority Rules'!$B$2:$B$8,B128)&gt;0),"P127",IF(COUNTIF('Priority Rules'!$C$2:$C$9,A128)&gt;0,"P128",IF(AND(OR(ISNUMBER(SEARCH("Varadero",C128)),ISNUMBER(SEARCH("Cayo Coco",C128)),ISNUMBER(SEARCH("Cayo Santa María",C128)),ISNUMBER(SEARCH("Cayo Santa Maria",C128)),ISNUMBER(SEARCH("Cayo Guillermo",C128)),ISNUMBER(SEARCH("Cayo Las Brujas",C128)),ISNUMBER(SEARCH("Cayo Ensenachos",C128)),ISNUMBER(SEARCH("Holguín",C128)),ISNUMBER(SEARCH("Holguin",C128)),ISNUMBER(SEARCH("Havana",C128)),ISNUMBER(SEARCH("Old Havana",C128)),ISNUMBER(SEARCH("Vedado",C128)),ISNUMBER(SEARCH("Miramar",C128))),NOT(ISNUMBER(SEARCH("historical",F128)))),"P128",IF(OR(ISNUMBER(SEARCH("historical",F128)),H128="Low",ISNUMBER(SEARCH("to verify",F128)),ISNUMBER(SEARCH("requires verification",F128))),"Backlog","P129")))))</f>
        <v>P129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">
        <v>394</v>
      </c>
      <c r="B129" s="4"/>
      <c r="C129" s="4" t="s">
        <v>395</v>
      </c>
      <c r="D129" s="4" t="s">
        <v>396</v>
      </c>
      <c r="E129" s="4"/>
      <c r="F129" s="4" t="s">
        <v>568</v>
      </c>
      <c r="G129" s="4" t="s">
        <v>61</v>
      </c>
      <c r="H129" s="4" t="s">
        <v>180</v>
      </c>
      <c r="I129" s="4" t="s">
        <v>569</v>
      </c>
      <c r="J129" s="4" t="s">
        <v>397</v>
      </c>
      <c r="K129" s="4" t="s">
        <v>570</v>
      </c>
      <c r="L129" s="4" t="str">
        <f>IF(A129="","",IF(OR(COUNTIF('Priority Rules'!$A$2:$A$24,A129)&gt;0,COUNTIF('Priority Rules'!$B$2:$B$8,B129)&gt;0),"P128",IF(COUNTIF('Priority Rules'!$C$2:$C$9,A129)&gt;0,"P129",IF(AND(OR(ISNUMBER(SEARCH("Varadero",C129)),ISNUMBER(SEARCH("Cayo Coco",C129)),ISNUMBER(SEARCH("Cayo Santa María",C129)),ISNUMBER(SEARCH("Cayo Santa Maria",C129)),ISNUMBER(SEARCH("Cayo Guillermo",C129)),ISNUMBER(SEARCH("Cayo Las Brujas",C129)),ISNUMBER(SEARCH("Cayo Ensenachos",C129)),ISNUMBER(SEARCH("Holguín",C129)),ISNUMBER(SEARCH("Holguin",C129)),ISNUMBER(SEARCH("Havana",C129)),ISNUMBER(SEARCH("Old Havana",C129)),ISNUMBER(SEARCH("Vedado",C129)),ISNUMBER(SEARCH("Miramar",C129))),NOT(ISNUMBER(SEARCH("historical",F129)))),"P129",IF(OR(ISNUMBER(SEARCH("historical",F129)),H129="Low",ISNUMBER(SEARCH("to verify",F129)),ISNUMBER(SEARCH("requires verification",F129))),"Backlog","P130")))))</f>
        <v>P130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">
        <v>398</v>
      </c>
      <c r="B130" s="4"/>
      <c r="C130" s="4" t="s">
        <v>255</v>
      </c>
      <c r="D130" s="4" t="s">
        <v>399</v>
      </c>
      <c r="E130" s="4"/>
      <c r="F130" s="4" t="s">
        <v>568</v>
      </c>
      <c r="G130" s="4" t="s">
        <v>61</v>
      </c>
      <c r="H130" s="4" t="s">
        <v>180</v>
      </c>
      <c r="I130" s="4" t="s">
        <v>569</v>
      </c>
      <c r="J130" s="4" t="s">
        <v>400</v>
      </c>
      <c r="K130" s="4" t="s">
        <v>570</v>
      </c>
      <c r="L130" s="4" t="str">
        <f>IF(A130="","",IF(OR(COUNTIF('Priority Rules'!$A$2:$A$24,A130)&gt;0,COUNTIF('Priority Rules'!$B$2:$B$8,B130)&gt;0),"P129",IF(COUNTIF('Priority Rules'!$C$2:$C$9,A130)&gt;0,"P130",IF(AND(OR(ISNUMBER(SEARCH("Varadero",C130)),ISNUMBER(SEARCH("Cayo Coco",C130)),ISNUMBER(SEARCH("Cayo Santa María",C130)),ISNUMBER(SEARCH("Cayo Santa Maria",C130)),ISNUMBER(SEARCH("Cayo Guillermo",C130)),ISNUMBER(SEARCH("Cayo Las Brujas",C130)),ISNUMBER(SEARCH("Cayo Ensenachos",C130)),ISNUMBER(SEARCH("Holguín",C130)),ISNUMBER(SEARCH("Holguin",C130)),ISNUMBER(SEARCH("Havana",C130)),ISNUMBER(SEARCH("Old Havana",C130)),ISNUMBER(SEARCH("Vedado",C130)),ISNUMBER(SEARCH("Miramar",C130))),NOT(ISNUMBER(SEARCH("historical",F130)))),"P130",IF(OR(ISNUMBER(SEARCH("historical",F130)),H130="Low",ISNUMBER(SEARCH("to verify",F130)),ISNUMBER(SEARCH("requires verification",F130))),"Backlog","P131")))))</f>
        <v>P130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">
        <v>401</v>
      </c>
      <c r="B131" s="4"/>
      <c r="C131" s="4" t="s">
        <v>255</v>
      </c>
      <c r="D131" s="4" t="s">
        <v>399</v>
      </c>
      <c r="E131" s="4"/>
      <c r="F131" s="4" t="s">
        <v>568</v>
      </c>
      <c r="G131" s="4" t="s">
        <v>61</v>
      </c>
      <c r="H131" s="4" t="s">
        <v>180</v>
      </c>
      <c r="I131" s="4" t="s">
        <v>569</v>
      </c>
      <c r="J131" s="4" t="s">
        <v>400</v>
      </c>
      <c r="K131" s="4" t="s">
        <v>570</v>
      </c>
      <c r="L131" s="4" t="str">
        <f>IF(A131="","",IF(OR(COUNTIF('Priority Rules'!$A$2:$A$24,A131)&gt;0,COUNTIF('Priority Rules'!$B$2:$B$8,B131)&gt;0),"P130",IF(COUNTIF('Priority Rules'!$C$2:$C$9,A131)&gt;0,"P131",IF(AND(OR(ISNUMBER(SEARCH("Varadero",C131)),ISNUMBER(SEARCH("Cayo Coco",C131)),ISNUMBER(SEARCH("Cayo Santa María",C131)),ISNUMBER(SEARCH("Cayo Santa Maria",C131)),ISNUMBER(SEARCH("Cayo Guillermo",C131)),ISNUMBER(SEARCH("Cayo Las Brujas",C131)),ISNUMBER(SEARCH("Cayo Ensenachos",C131)),ISNUMBER(SEARCH("Holguín",C131)),ISNUMBER(SEARCH("Holguin",C131)),ISNUMBER(SEARCH("Havana",C131)),ISNUMBER(SEARCH("Old Havana",C131)),ISNUMBER(SEARCH("Vedado",C131)),ISNUMBER(SEARCH("Miramar",C131))),NOT(ISNUMBER(SEARCH("historical",F131)))),"P131",IF(OR(ISNUMBER(SEARCH("historical",F131)),H131="Low",ISNUMBER(SEARCH("to verify",F131)),ISNUMBER(SEARCH("requires verification",F131))),"Backlog","P132")))))</f>
        <v>P131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">
        <v>402</v>
      </c>
      <c r="B132" s="4"/>
      <c r="C132" s="4" t="s">
        <v>255</v>
      </c>
      <c r="D132" s="4" t="s">
        <v>399</v>
      </c>
      <c r="E132" s="4"/>
      <c r="F132" s="4" t="s">
        <v>568</v>
      </c>
      <c r="G132" s="4" t="s">
        <v>61</v>
      </c>
      <c r="H132" s="4" t="s">
        <v>180</v>
      </c>
      <c r="I132" s="4" t="s">
        <v>569</v>
      </c>
      <c r="J132" s="4" t="s">
        <v>400</v>
      </c>
      <c r="K132" s="4" t="s">
        <v>570</v>
      </c>
      <c r="L132" s="4" t="str">
        <f>IF(A132="","",IF(OR(COUNTIF('Priority Rules'!$A$2:$A$24,A132)&gt;0,COUNTIF('Priority Rules'!$B$2:$B$8,B132)&gt;0),"P131",IF(COUNTIF('Priority Rules'!$C$2:$C$9,A132)&gt;0,"P132",IF(AND(OR(ISNUMBER(SEARCH("Varadero",C132)),ISNUMBER(SEARCH("Cayo Coco",C132)),ISNUMBER(SEARCH("Cayo Santa María",C132)),ISNUMBER(SEARCH("Cayo Santa Maria",C132)),ISNUMBER(SEARCH("Cayo Guillermo",C132)),ISNUMBER(SEARCH("Cayo Las Brujas",C132)),ISNUMBER(SEARCH("Cayo Ensenachos",C132)),ISNUMBER(SEARCH("Holguín",C132)),ISNUMBER(SEARCH("Holguin",C132)),ISNUMBER(SEARCH("Havana",C132)),ISNUMBER(SEARCH("Old Havana",C132)),ISNUMBER(SEARCH("Vedado",C132)),ISNUMBER(SEARCH("Miramar",C132))),NOT(ISNUMBER(SEARCH("historical",F132)))),"P132",IF(OR(ISNUMBER(SEARCH("historical",F132)),H132="Low",ISNUMBER(SEARCH("to verify",F132)),ISNUMBER(SEARCH("requires verification",F132))),"Backlog","P133")))))</f>
        <v>P132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">
        <v>403</v>
      </c>
      <c r="B133" s="4"/>
      <c r="C133" s="4" t="s">
        <v>404</v>
      </c>
      <c r="D133" s="4" t="s">
        <v>135</v>
      </c>
      <c r="E133" s="4"/>
      <c r="F133" s="4" t="s">
        <v>568</v>
      </c>
      <c r="G133" s="4" t="s">
        <v>61</v>
      </c>
      <c r="H133" s="4" t="s">
        <v>180</v>
      </c>
      <c r="I133" s="4" t="s">
        <v>569</v>
      </c>
      <c r="J133" s="4" t="s">
        <v>400</v>
      </c>
      <c r="K133" s="4" t="s">
        <v>570</v>
      </c>
      <c r="L133" s="4" t="str">
        <f>IF(A133="","",IF(OR(COUNTIF('Priority Rules'!$A$2:$A$24,A133)&gt;0,COUNTIF('Priority Rules'!$B$2:$B$8,B133)&gt;0),"P132",IF(COUNTIF('Priority Rules'!$C$2:$C$9,A133)&gt;0,"P133",IF(AND(OR(ISNUMBER(SEARCH("Varadero",C133)),ISNUMBER(SEARCH("Cayo Coco",C133)),ISNUMBER(SEARCH("Cayo Santa María",C133)),ISNUMBER(SEARCH("Cayo Santa Maria",C133)),ISNUMBER(SEARCH("Cayo Guillermo",C133)),ISNUMBER(SEARCH("Cayo Las Brujas",C133)),ISNUMBER(SEARCH("Cayo Ensenachos",C133)),ISNUMBER(SEARCH("Holguín",C133)),ISNUMBER(SEARCH("Holguin",C133)),ISNUMBER(SEARCH("Havana",C133)),ISNUMBER(SEARCH("Old Havana",C133)),ISNUMBER(SEARCH("Vedado",C133)),ISNUMBER(SEARCH("Miramar",C133))),NOT(ISNUMBER(SEARCH("historical",F133)))),"P133",IF(OR(ISNUMBER(SEARCH("historical",F133)),H133="Low",ISNUMBER(SEARCH("to verify",F133)),ISNUMBER(SEARCH("requires verification",F133))),"Backlog","P134")))))</f>
        <v>P133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">
        <v>405</v>
      </c>
      <c r="B134" s="4"/>
      <c r="C134" s="4" t="s">
        <v>404</v>
      </c>
      <c r="D134" s="4" t="s">
        <v>406</v>
      </c>
      <c r="E134" s="4"/>
      <c r="F134" s="4" t="s">
        <v>568</v>
      </c>
      <c r="G134" s="4" t="s">
        <v>61</v>
      </c>
      <c r="H134" s="4" t="s">
        <v>180</v>
      </c>
      <c r="I134" s="4" t="s">
        <v>569</v>
      </c>
      <c r="J134" s="4" t="s">
        <v>400</v>
      </c>
      <c r="K134" s="4" t="s">
        <v>570</v>
      </c>
      <c r="L134" s="4" t="str">
        <f>IF(A134="","",IF(OR(COUNTIF('Priority Rules'!$A$2:$A$24,A134)&gt;0,COUNTIF('Priority Rules'!$B$2:$B$8,B134)&gt;0),"P133",IF(COUNTIF('Priority Rules'!$C$2:$C$9,A134)&gt;0,"P134",IF(AND(OR(ISNUMBER(SEARCH("Varadero",C134)),ISNUMBER(SEARCH("Cayo Coco",C134)),ISNUMBER(SEARCH("Cayo Santa María",C134)),ISNUMBER(SEARCH("Cayo Santa Maria",C134)),ISNUMBER(SEARCH("Cayo Guillermo",C134)),ISNUMBER(SEARCH("Cayo Las Brujas",C134)),ISNUMBER(SEARCH("Cayo Ensenachos",C134)),ISNUMBER(SEARCH("Holguín",C134)),ISNUMBER(SEARCH("Holguin",C134)),ISNUMBER(SEARCH("Havana",C134)),ISNUMBER(SEARCH("Old Havana",C134)),ISNUMBER(SEARCH("Vedado",C134)),ISNUMBER(SEARCH("Miramar",C134))),NOT(ISNUMBER(SEARCH("historical",F134)))),"P134",IF(OR(ISNUMBER(SEARCH("historical",F134)),H134="Low",ISNUMBER(SEARCH("to verify",F134)),ISNUMBER(SEARCH("requires verification",F134))),"Backlog","P135")))))</f>
        <v>P134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">
        <v>407</v>
      </c>
      <c r="B135" s="4"/>
      <c r="C135" s="4" t="s">
        <v>404</v>
      </c>
      <c r="D135" s="4" t="s">
        <v>135</v>
      </c>
      <c r="E135" s="4"/>
      <c r="F135" s="4" t="s">
        <v>568</v>
      </c>
      <c r="G135" s="4" t="s">
        <v>61</v>
      </c>
      <c r="H135" s="4" t="s">
        <v>180</v>
      </c>
      <c r="I135" s="4" t="s">
        <v>569</v>
      </c>
      <c r="J135" s="4" t="s">
        <v>400</v>
      </c>
      <c r="K135" s="4" t="s">
        <v>570</v>
      </c>
      <c r="L135" s="4" t="str">
        <f>IF(A135="","",IF(OR(COUNTIF('Priority Rules'!$A$2:$A$24,A135)&gt;0,COUNTIF('Priority Rules'!$B$2:$B$8,B135)&gt;0),"P134",IF(COUNTIF('Priority Rules'!$C$2:$C$9,A135)&gt;0,"P135",IF(AND(OR(ISNUMBER(SEARCH("Varadero",C135)),ISNUMBER(SEARCH("Cayo Coco",C135)),ISNUMBER(SEARCH("Cayo Santa María",C135)),ISNUMBER(SEARCH("Cayo Santa Maria",C135)),ISNUMBER(SEARCH("Cayo Guillermo",C135)),ISNUMBER(SEARCH("Cayo Las Brujas",C135)),ISNUMBER(SEARCH("Cayo Ensenachos",C135)),ISNUMBER(SEARCH("Holguín",C135)),ISNUMBER(SEARCH("Holguin",C135)),ISNUMBER(SEARCH("Havana",C135)),ISNUMBER(SEARCH("Old Havana",C135)),ISNUMBER(SEARCH("Vedado",C135)),ISNUMBER(SEARCH("Miramar",C135))),NOT(ISNUMBER(SEARCH("historical",F135)))),"P135",IF(OR(ISNUMBER(SEARCH("historical",F135)),H135="Low",ISNUMBER(SEARCH("to verify",F135)),ISNUMBER(SEARCH("requires verification",F135))),"Backlog","P136")))))</f>
        <v>P135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">
        <v>408</v>
      </c>
      <c r="B136" s="4"/>
      <c r="C136" s="4" t="s">
        <v>404</v>
      </c>
      <c r="D136" s="4" t="s">
        <v>396</v>
      </c>
      <c r="E136" s="4"/>
      <c r="F136" s="4" t="s">
        <v>568</v>
      </c>
      <c r="G136" s="4" t="s">
        <v>61</v>
      </c>
      <c r="H136" s="4" t="s">
        <v>180</v>
      </c>
      <c r="I136" s="4" t="s">
        <v>569</v>
      </c>
      <c r="J136" s="4" t="s">
        <v>400</v>
      </c>
      <c r="K136" s="4" t="s">
        <v>570</v>
      </c>
      <c r="L136" s="4" t="str">
        <f>IF(A136="","",IF(OR(COUNTIF('Priority Rules'!$A$2:$A$24,A136)&gt;0,COUNTIF('Priority Rules'!$B$2:$B$8,B136)&gt;0),"P135",IF(COUNTIF('Priority Rules'!$C$2:$C$9,A136)&gt;0,"P136",IF(AND(OR(ISNUMBER(SEARCH("Varadero",C136)),ISNUMBER(SEARCH("Cayo Coco",C136)),ISNUMBER(SEARCH("Cayo Santa María",C136)),ISNUMBER(SEARCH("Cayo Santa Maria",C136)),ISNUMBER(SEARCH("Cayo Guillermo",C136)),ISNUMBER(SEARCH("Cayo Las Brujas",C136)),ISNUMBER(SEARCH("Cayo Ensenachos",C136)),ISNUMBER(SEARCH("Holguín",C136)),ISNUMBER(SEARCH("Holguin",C136)),ISNUMBER(SEARCH("Havana",C136)),ISNUMBER(SEARCH("Old Havana",C136)),ISNUMBER(SEARCH("Vedado",C136)),ISNUMBER(SEARCH("Miramar",C136))),NOT(ISNUMBER(SEARCH("historical",F136)))),"P136",IF(OR(ISNUMBER(SEARCH("historical",F136)),H136="Low",ISNUMBER(SEARCH("to verify",F136)),ISNUMBER(SEARCH("requires verification",F136))),"Backlog","P137")))))</f>
        <v>P136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">
        <v>410</v>
      </c>
      <c r="B137" s="4"/>
      <c r="C137" s="4" t="s">
        <v>411</v>
      </c>
      <c r="D137" s="4" t="s">
        <v>151</v>
      </c>
      <c r="E137" s="4"/>
      <c r="F137" s="4" t="s">
        <v>568</v>
      </c>
      <c r="G137" s="4" t="s">
        <v>61</v>
      </c>
      <c r="H137" s="4" t="s">
        <v>180</v>
      </c>
      <c r="I137" s="4" t="s">
        <v>569</v>
      </c>
      <c r="J137" s="4" t="s">
        <v>400</v>
      </c>
      <c r="K137" s="4" t="s">
        <v>570</v>
      </c>
      <c r="L137" s="4" t="str">
        <f>IF(A137="","",IF(OR(COUNTIF('Priority Rules'!$A$2:$A$24,A137)&gt;0,COUNTIF('Priority Rules'!$B$2:$B$8,B137)&gt;0),"P136",IF(COUNTIF('Priority Rules'!$C$2:$C$9,A137)&gt;0,"P137",IF(AND(OR(ISNUMBER(SEARCH("Varadero",C137)),ISNUMBER(SEARCH("Cayo Coco",C137)),ISNUMBER(SEARCH("Cayo Santa María",C137)),ISNUMBER(SEARCH("Cayo Santa Maria",C137)),ISNUMBER(SEARCH("Cayo Guillermo",C137)),ISNUMBER(SEARCH("Cayo Las Brujas",C137)),ISNUMBER(SEARCH("Cayo Ensenachos",C137)),ISNUMBER(SEARCH("Holguín",C137)),ISNUMBER(SEARCH("Holguin",C137)),ISNUMBER(SEARCH("Havana",C137)),ISNUMBER(SEARCH("Old Havana",C137)),ISNUMBER(SEARCH("Vedado",C137)),ISNUMBER(SEARCH("Miramar",C137))),NOT(ISNUMBER(SEARCH("historical",F137)))),"P137",IF(OR(ISNUMBER(SEARCH("historical",F137)),H137="Low",ISNUMBER(SEARCH("to verify",F137)),ISNUMBER(SEARCH("requires verification",F137))),"Backlog","P138")))))</f>
        <v>P137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 t="s">
        <v>412</v>
      </c>
      <c r="B138" s="4"/>
      <c r="C138" s="4" t="s">
        <v>411</v>
      </c>
      <c r="D138" s="4" t="s">
        <v>151</v>
      </c>
      <c r="E138" s="4"/>
      <c r="F138" s="4" t="s">
        <v>568</v>
      </c>
      <c r="G138" s="4" t="s">
        <v>61</v>
      </c>
      <c r="H138" s="4" t="s">
        <v>180</v>
      </c>
      <c r="I138" s="4" t="s">
        <v>569</v>
      </c>
      <c r="J138" s="4" t="s">
        <v>400</v>
      </c>
      <c r="K138" s="4" t="s">
        <v>570</v>
      </c>
      <c r="L138" s="4" t="str">
        <f>IF(A138="","",IF(OR(COUNTIF('Priority Rules'!$A$2:$A$24,A138)&gt;0,COUNTIF('Priority Rules'!$B$2:$B$8,B138)&gt;0),"P137",IF(COUNTIF('Priority Rules'!$C$2:$C$9,A138)&gt;0,"P138",IF(AND(OR(ISNUMBER(SEARCH("Varadero",C138)),ISNUMBER(SEARCH("Cayo Coco",C138)),ISNUMBER(SEARCH("Cayo Santa María",C138)),ISNUMBER(SEARCH("Cayo Santa Maria",C138)),ISNUMBER(SEARCH("Cayo Guillermo",C138)),ISNUMBER(SEARCH("Cayo Las Brujas",C138)),ISNUMBER(SEARCH("Cayo Ensenachos",C138)),ISNUMBER(SEARCH("Holguín",C138)),ISNUMBER(SEARCH("Holguin",C138)),ISNUMBER(SEARCH("Havana",C138)),ISNUMBER(SEARCH("Old Havana",C138)),ISNUMBER(SEARCH("Vedado",C138)),ISNUMBER(SEARCH("Miramar",C138))),NOT(ISNUMBER(SEARCH("historical",F138)))),"P138",IF(OR(ISNUMBER(SEARCH("historical",F138)),H138="Low",ISNUMBER(SEARCH("to verify",F138)),ISNUMBER(SEARCH("requires verification",F138))),"Backlog","P139")))))</f>
        <v>P138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 t="s">
        <v>413</v>
      </c>
      <c r="B139" s="4"/>
      <c r="C139" s="4" t="s">
        <v>414</v>
      </c>
      <c r="D139" s="4" t="s">
        <v>151</v>
      </c>
      <c r="E139" s="4"/>
      <c r="F139" s="4" t="s">
        <v>568</v>
      </c>
      <c r="G139" s="4" t="s">
        <v>61</v>
      </c>
      <c r="H139" s="4" t="s">
        <v>180</v>
      </c>
      <c r="I139" s="4" t="s">
        <v>569</v>
      </c>
      <c r="J139" s="4" t="s">
        <v>400</v>
      </c>
      <c r="K139" s="4" t="s">
        <v>570</v>
      </c>
      <c r="L139" s="4" t="str">
        <f>IF(A139="","",IF(OR(COUNTIF('Priority Rules'!$A$2:$A$24,A139)&gt;0,COUNTIF('Priority Rules'!$B$2:$B$8,B139)&gt;0),"P138",IF(COUNTIF('Priority Rules'!$C$2:$C$9,A139)&gt;0,"P139",IF(AND(OR(ISNUMBER(SEARCH("Varadero",C139)),ISNUMBER(SEARCH("Cayo Coco",C139)),ISNUMBER(SEARCH("Cayo Santa María",C139)),ISNUMBER(SEARCH("Cayo Santa Maria",C139)),ISNUMBER(SEARCH("Cayo Guillermo",C139)),ISNUMBER(SEARCH("Cayo Las Brujas",C139)),ISNUMBER(SEARCH("Cayo Ensenachos",C139)),ISNUMBER(SEARCH("Holguín",C139)),ISNUMBER(SEARCH("Holguin",C139)),ISNUMBER(SEARCH("Havana",C139)),ISNUMBER(SEARCH("Old Havana",C139)),ISNUMBER(SEARCH("Vedado",C139)),ISNUMBER(SEARCH("Miramar",C139))),NOT(ISNUMBER(SEARCH("historical",F139)))),"P139",IF(OR(ISNUMBER(SEARCH("historical",F139)),H139="Low",ISNUMBER(SEARCH("to verify",F139)),ISNUMBER(SEARCH("requires verification",F139))),"Backlog","P140")))))</f>
        <v>P138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 t="s">
        <v>415</v>
      </c>
      <c r="B140" s="4"/>
      <c r="C140" s="4" t="s">
        <v>414</v>
      </c>
      <c r="D140" s="4" t="s">
        <v>151</v>
      </c>
      <c r="E140" s="4"/>
      <c r="F140" s="4" t="s">
        <v>568</v>
      </c>
      <c r="G140" s="4" t="s">
        <v>61</v>
      </c>
      <c r="H140" s="4" t="s">
        <v>180</v>
      </c>
      <c r="I140" s="4" t="s">
        <v>569</v>
      </c>
      <c r="J140" s="4" t="s">
        <v>400</v>
      </c>
      <c r="K140" s="4" t="s">
        <v>570</v>
      </c>
      <c r="L140" s="4" t="str">
        <f>IF(A140="","",IF(OR(COUNTIF('Priority Rules'!$A$2:$A$24,A140)&gt;0,COUNTIF('Priority Rules'!$B$2:$B$8,B140)&gt;0),"P139",IF(COUNTIF('Priority Rules'!$C$2:$C$9,A140)&gt;0,"P140",IF(AND(OR(ISNUMBER(SEARCH("Varadero",C140)),ISNUMBER(SEARCH("Cayo Coco",C140)),ISNUMBER(SEARCH("Cayo Santa María",C140)),ISNUMBER(SEARCH("Cayo Santa Maria",C140)),ISNUMBER(SEARCH("Cayo Guillermo",C140)),ISNUMBER(SEARCH("Cayo Las Brujas",C140)),ISNUMBER(SEARCH("Cayo Ensenachos",C140)),ISNUMBER(SEARCH("Holguín",C140)),ISNUMBER(SEARCH("Holguin",C140)),ISNUMBER(SEARCH("Havana",C140)),ISNUMBER(SEARCH("Old Havana",C140)),ISNUMBER(SEARCH("Vedado",C140)),ISNUMBER(SEARCH("Miramar",C140))),NOT(ISNUMBER(SEARCH("historical",F140)))),"P140",IF(OR(ISNUMBER(SEARCH("historical",F140)),H140="Low",ISNUMBER(SEARCH("to verify",F140)),ISNUMBER(SEARCH("requires verification",F140))),"Backlog","P141")))))</f>
        <v>P140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 t="s">
        <v>416</v>
      </c>
      <c r="B141" s="4"/>
      <c r="C141" s="4" t="s">
        <v>414</v>
      </c>
      <c r="D141" s="4" t="s">
        <v>336</v>
      </c>
      <c r="E141" s="4"/>
      <c r="F141" s="4" t="s">
        <v>568</v>
      </c>
      <c r="G141" s="4" t="s">
        <v>61</v>
      </c>
      <c r="H141" s="4" t="s">
        <v>180</v>
      </c>
      <c r="I141" s="4" t="s">
        <v>569</v>
      </c>
      <c r="J141" s="4" t="s">
        <v>400</v>
      </c>
      <c r="K141" s="4" t="s">
        <v>570</v>
      </c>
      <c r="L141" s="4" t="str">
        <f>IF(A141="","",IF(OR(COUNTIF('Priority Rules'!$A$2:$A$24,A141)&gt;0,COUNTIF('Priority Rules'!$B$2:$B$8,B141)&gt;0),"P140",IF(COUNTIF('Priority Rules'!$C$2:$C$9,A141)&gt;0,"P141",IF(AND(OR(ISNUMBER(SEARCH("Varadero",C141)),ISNUMBER(SEARCH("Cayo Coco",C141)),ISNUMBER(SEARCH("Cayo Santa María",C141)),ISNUMBER(SEARCH("Cayo Santa Maria",C141)),ISNUMBER(SEARCH("Cayo Guillermo",C141)),ISNUMBER(SEARCH("Cayo Las Brujas",C141)),ISNUMBER(SEARCH("Cayo Ensenachos",C141)),ISNUMBER(SEARCH("Holguín",C141)),ISNUMBER(SEARCH("Holguin",C141)),ISNUMBER(SEARCH("Havana",C141)),ISNUMBER(SEARCH("Old Havana",C141)),ISNUMBER(SEARCH("Vedado",C141)),ISNUMBER(SEARCH("Miramar",C141))),NOT(ISNUMBER(SEARCH("historical",F141)))),"P141",IF(OR(ISNUMBER(SEARCH("historical",F141)),H141="Low",ISNUMBER(SEARCH("to verify",F141)),ISNUMBER(SEARCH("requires verification",F141))),"Backlog","P142")))))</f>
        <v>P141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 t="s">
        <v>417</v>
      </c>
      <c r="B142" s="4"/>
      <c r="C142" s="4" t="s">
        <v>418</v>
      </c>
      <c r="D142" s="4" t="s">
        <v>151</v>
      </c>
      <c r="E142" s="4"/>
      <c r="F142" s="4" t="s">
        <v>568</v>
      </c>
      <c r="G142" s="4" t="s">
        <v>61</v>
      </c>
      <c r="H142" s="4" t="s">
        <v>180</v>
      </c>
      <c r="I142" s="4" t="s">
        <v>569</v>
      </c>
      <c r="J142" s="4" t="s">
        <v>400</v>
      </c>
      <c r="K142" s="4" t="s">
        <v>570</v>
      </c>
      <c r="L142" s="4" t="str">
        <f>IF(A142="","",IF(OR(COUNTIF('Priority Rules'!$A$2:$A$24,A142)&gt;0,COUNTIF('Priority Rules'!$B$2:$B$8,B142)&gt;0),"P141",IF(COUNTIF('Priority Rules'!$C$2:$C$9,A142)&gt;0,"P142",IF(AND(OR(ISNUMBER(SEARCH("Varadero",C142)),ISNUMBER(SEARCH("Cayo Coco",C142)),ISNUMBER(SEARCH("Cayo Santa María",C142)),ISNUMBER(SEARCH("Cayo Santa Maria",C142)),ISNUMBER(SEARCH("Cayo Guillermo",C142)),ISNUMBER(SEARCH("Cayo Las Brujas",C142)),ISNUMBER(SEARCH("Cayo Ensenachos",C142)),ISNUMBER(SEARCH("Holguín",C142)),ISNUMBER(SEARCH("Holguin",C142)),ISNUMBER(SEARCH("Havana",C142)),ISNUMBER(SEARCH("Old Havana",C142)),ISNUMBER(SEARCH("Vedado",C142)),ISNUMBER(SEARCH("Miramar",C142))),NOT(ISNUMBER(SEARCH("historical",F142)))),"P142",IF(OR(ISNUMBER(SEARCH("historical",F142)),H142="Low",ISNUMBER(SEARCH("to verify",F142)),ISNUMBER(SEARCH("requires verification",F142))),"Backlog","P143")))))</f>
        <v>P142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 t="s">
        <v>419</v>
      </c>
      <c r="B143" s="4"/>
      <c r="C143" s="4" t="s">
        <v>414</v>
      </c>
      <c r="D143" s="4" t="s">
        <v>351</v>
      </c>
      <c r="E143" s="4"/>
      <c r="F143" s="4" t="s">
        <v>568</v>
      </c>
      <c r="G143" s="4" t="s">
        <v>61</v>
      </c>
      <c r="H143" s="4" t="s">
        <v>180</v>
      </c>
      <c r="I143" s="4" t="s">
        <v>569</v>
      </c>
      <c r="J143" s="4" t="s">
        <v>400</v>
      </c>
      <c r="K143" s="4" t="s">
        <v>570</v>
      </c>
      <c r="L143" s="4" t="str">
        <f>IF(A143="","",IF(OR(COUNTIF('Priority Rules'!$A$2:$A$24,A143)&gt;0,COUNTIF('Priority Rules'!$B$2:$B$8,B143)&gt;0),"P142",IF(COUNTIF('Priority Rules'!$C$2:$C$9,A143)&gt;0,"P143",IF(AND(OR(ISNUMBER(SEARCH("Varadero",C143)),ISNUMBER(SEARCH("Cayo Coco",C143)),ISNUMBER(SEARCH("Cayo Santa María",C143)),ISNUMBER(SEARCH("Cayo Santa Maria",C143)),ISNUMBER(SEARCH("Cayo Guillermo",C143)),ISNUMBER(SEARCH("Cayo Las Brujas",C143)),ISNUMBER(SEARCH("Cayo Ensenachos",C143)),ISNUMBER(SEARCH("Holguín",C143)),ISNUMBER(SEARCH("Holguin",C143)),ISNUMBER(SEARCH("Havana",C143)),ISNUMBER(SEARCH("Old Havana",C143)),ISNUMBER(SEARCH("Vedado",C143)),ISNUMBER(SEARCH("Miramar",C143))),NOT(ISNUMBER(SEARCH("historical",F143)))),"P143",IF(OR(ISNUMBER(SEARCH("historical",F143)),H143="Low",ISNUMBER(SEARCH("to verify",F143)),ISNUMBER(SEARCH("requires verification",F143))),"Backlog","P144")))))</f>
        <v>P143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 t="s">
        <v>421</v>
      </c>
      <c r="B144" s="4"/>
      <c r="C144" s="4" t="s">
        <v>422</v>
      </c>
      <c r="D144" s="4" t="s">
        <v>336</v>
      </c>
      <c r="E144" s="4"/>
      <c r="F144" s="4" t="s">
        <v>568</v>
      </c>
      <c r="G144" s="4" t="s">
        <v>61</v>
      </c>
      <c r="H144" s="4" t="s">
        <v>180</v>
      </c>
      <c r="I144" s="4" t="s">
        <v>569</v>
      </c>
      <c r="J144" s="4" t="s">
        <v>423</v>
      </c>
      <c r="K144" s="4" t="s">
        <v>570</v>
      </c>
      <c r="L144" s="4" t="str">
        <f>IF(A144="","",IF(OR(COUNTIF('Priority Rules'!$A$2:$A$24,A144)&gt;0,COUNTIF('Priority Rules'!$B$2:$B$8,B144)&gt;0),"P143",IF(COUNTIF('Priority Rules'!$C$2:$C$9,A144)&gt;0,"P144",IF(AND(OR(ISNUMBER(SEARCH("Varadero",C144)),ISNUMBER(SEARCH("Cayo Coco",C144)),ISNUMBER(SEARCH("Cayo Santa María",C144)),ISNUMBER(SEARCH("Cayo Santa Maria",C144)),ISNUMBER(SEARCH("Cayo Guillermo",C144)),ISNUMBER(SEARCH("Cayo Las Brujas",C144)),ISNUMBER(SEARCH("Cayo Ensenachos",C144)),ISNUMBER(SEARCH("Holguín",C144)),ISNUMBER(SEARCH("Holguin",C144)),ISNUMBER(SEARCH("Havana",C144)),ISNUMBER(SEARCH("Old Havana",C144)),ISNUMBER(SEARCH("Vedado",C144)),ISNUMBER(SEARCH("Miramar",C144))),NOT(ISNUMBER(SEARCH("historical",F144)))),"P144",IF(OR(ISNUMBER(SEARCH("historical",F144)),H144="Low",ISNUMBER(SEARCH("to verify",F144)),ISNUMBER(SEARCH("requires verification",F144))),"Backlog","P145")))))</f>
        <v>P144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 t="s">
        <v>424</v>
      </c>
      <c r="B145" s="4"/>
      <c r="C145" s="4" t="s">
        <v>425</v>
      </c>
      <c r="D145" s="4" t="s">
        <v>328</v>
      </c>
      <c r="E145" s="4"/>
      <c r="F145" s="4" t="s">
        <v>568</v>
      </c>
      <c r="G145" s="4" t="s">
        <v>61</v>
      </c>
      <c r="H145" s="4" t="s">
        <v>180</v>
      </c>
      <c r="I145" s="4" t="s">
        <v>569</v>
      </c>
      <c r="J145" s="4" t="s">
        <v>423</v>
      </c>
      <c r="K145" s="4" t="s">
        <v>570</v>
      </c>
      <c r="L145" s="4" t="str">
        <f>IF(A145="","",IF(OR(COUNTIF('Priority Rules'!$A$2:$A$24,A145)&gt;0,COUNTIF('Priority Rules'!$B$2:$B$8,B145)&gt;0),"P144",IF(COUNTIF('Priority Rules'!$C$2:$C$9,A145)&gt;0,"P145",IF(AND(OR(ISNUMBER(SEARCH("Varadero",C145)),ISNUMBER(SEARCH("Cayo Coco",C145)),ISNUMBER(SEARCH("Cayo Santa María",C145)),ISNUMBER(SEARCH("Cayo Santa Maria",C145)),ISNUMBER(SEARCH("Cayo Guillermo",C145)),ISNUMBER(SEARCH("Cayo Las Brujas",C145)),ISNUMBER(SEARCH("Cayo Ensenachos",C145)),ISNUMBER(SEARCH("Holguín",C145)),ISNUMBER(SEARCH("Holguin",C145)),ISNUMBER(SEARCH("Havana",C145)),ISNUMBER(SEARCH("Old Havana",C145)),ISNUMBER(SEARCH("Vedado",C145)),ISNUMBER(SEARCH("Miramar",C145))),NOT(ISNUMBER(SEARCH("historical",F145)))),"P145",IF(OR(ISNUMBER(SEARCH("historical",F145)),H145="Low",ISNUMBER(SEARCH("to verify",F145)),ISNUMBER(SEARCH("requires verification",F145))),"Backlog","P146")))))</f>
        <v>P145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 t="s">
        <v>426</v>
      </c>
      <c r="B146" s="4"/>
      <c r="C146" s="4" t="s">
        <v>425</v>
      </c>
      <c r="D146" s="4" t="s">
        <v>151</v>
      </c>
      <c r="E146" s="4"/>
      <c r="F146" s="4" t="s">
        <v>568</v>
      </c>
      <c r="G146" s="4" t="s">
        <v>61</v>
      </c>
      <c r="H146" s="4" t="s">
        <v>180</v>
      </c>
      <c r="I146" s="4" t="s">
        <v>569</v>
      </c>
      <c r="J146" s="4" t="s">
        <v>423</v>
      </c>
      <c r="K146" s="4" t="s">
        <v>570</v>
      </c>
      <c r="L146" s="4" t="str">
        <f>IF(A146="","",IF(OR(COUNTIF('Priority Rules'!$A$2:$A$24,A146)&gt;0,COUNTIF('Priority Rules'!$B$2:$B$8,B146)&gt;0),"P145",IF(COUNTIF('Priority Rules'!$C$2:$C$9,A146)&gt;0,"P146",IF(AND(OR(ISNUMBER(SEARCH("Varadero",C146)),ISNUMBER(SEARCH("Cayo Coco",C146)),ISNUMBER(SEARCH("Cayo Santa María",C146)),ISNUMBER(SEARCH("Cayo Santa Maria",C146)),ISNUMBER(SEARCH("Cayo Guillermo",C146)),ISNUMBER(SEARCH("Cayo Las Brujas",C146)),ISNUMBER(SEARCH("Cayo Ensenachos",C146)),ISNUMBER(SEARCH("Holguín",C146)),ISNUMBER(SEARCH("Holguin",C146)),ISNUMBER(SEARCH("Havana",C146)),ISNUMBER(SEARCH("Old Havana",C146)),ISNUMBER(SEARCH("Vedado",C146)),ISNUMBER(SEARCH("Miramar",C146))),NOT(ISNUMBER(SEARCH("historical",F146)))),"P146",IF(OR(ISNUMBER(SEARCH("historical",F146)),H146="Low",ISNUMBER(SEARCH("to verify",F146)),ISNUMBER(SEARCH("requires verification",F146))),"Backlog","P147")))))</f>
        <v>P146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 t="s">
        <v>427</v>
      </c>
      <c r="B147" s="4"/>
      <c r="C147" s="4" t="s">
        <v>425</v>
      </c>
      <c r="D147" s="4" t="s">
        <v>328</v>
      </c>
      <c r="E147" s="4"/>
      <c r="F147" s="4" t="s">
        <v>568</v>
      </c>
      <c r="G147" s="4" t="s">
        <v>61</v>
      </c>
      <c r="H147" s="4" t="s">
        <v>180</v>
      </c>
      <c r="I147" s="4" t="s">
        <v>569</v>
      </c>
      <c r="J147" s="4" t="s">
        <v>423</v>
      </c>
      <c r="K147" s="4" t="s">
        <v>570</v>
      </c>
      <c r="L147" s="4" t="str">
        <f>IF(A147="","",IF(OR(COUNTIF('Priority Rules'!$A$2:$A$24,A147)&gt;0,COUNTIF('Priority Rules'!$B$2:$B$8,B147)&gt;0),"P146",IF(COUNTIF('Priority Rules'!$C$2:$C$9,A147)&gt;0,"P147",IF(AND(OR(ISNUMBER(SEARCH("Varadero",C147)),ISNUMBER(SEARCH("Cayo Coco",C147)),ISNUMBER(SEARCH("Cayo Santa María",C147)),ISNUMBER(SEARCH("Cayo Santa Maria",C147)),ISNUMBER(SEARCH("Cayo Guillermo",C147)),ISNUMBER(SEARCH("Cayo Las Brujas",C147)),ISNUMBER(SEARCH("Cayo Ensenachos",C147)),ISNUMBER(SEARCH("Holguín",C147)),ISNUMBER(SEARCH("Holguin",C147)),ISNUMBER(SEARCH("Havana",C147)),ISNUMBER(SEARCH("Old Havana",C147)),ISNUMBER(SEARCH("Vedado",C147)),ISNUMBER(SEARCH("Miramar",C147))),NOT(ISNUMBER(SEARCH("historical",F147)))),"P147",IF(OR(ISNUMBER(SEARCH("historical",F147)),H147="Low",ISNUMBER(SEARCH("to verify",F147)),ISNUMBER(SEARCH("requires verification",F147))),"Backlog","P148")))))</f>
        <v>P147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 t="s">
        <v>428</v>
      </c>
      <c r="B148" s="4"/>
      <c r="C148" s="4" t="s">
        <v>425</v>
      </c>
      <c r="D148" s="4" t="s">
        <v>328</v>
      </c>
      <c r="E148" s="4"/>
      <c r="F148" s="4" t="s">
        <v>568</v>
      </c>
      <c r="G148" s="4" t="s">
        <v>61</v>
      </c>
      <c r="H148" s="4" t="s">
        <v>180</v>
      </c>
      <c r="I148" s="4" t="s">
        <v>569</v>
      </c>
      <c r="J148" s="4" t="s">
        <v>423</v>
      </c>
      <c r="K148" s="4" t="s">
        <v>570</v>
      </c>
      <c r="L148" s="4" t="str">
        <f>IF(A148="","",IF(OR(COUNTIF('Priority Rules'!$A$2:$A$24,A148)&gt;0,COUNTIF('Priority Rules'!$B$2:$B$8,B148)&gt;0),"P147",IF(COUNTIF('Priority Rules'!$C$2:$C$9,A148)&gt;0,"P148",IF(AND(OR(ISNUMBER(SEARCH("Varadero",C148)),ISNUMBER(SEARCH("Cayo Coco",C148)),ISNUMBER(SEARCH("Cayo Santa María",C148)),ISNUMBER(SEARCH("Cayo Santa Maria",C148)),ISNUMBER(SEARCH("Cayo Guillermo",C148)),ISNUMBER(SEARCH("Cayo Las Brujas",C148)),ISNUMBER(SEARCH("Cayo Ensenachos",C148)),ISNUMBER(SEARCH("Holguín",C148)),ISNUMBER(SEARCH("Holguin",C148)),ISNUMBER(SEARCH("Havana",C148)),ISNUMBER(SEARCH("Old Havana",C148)),ISNUMBER(SEARCH("Vedado",C148)),ISNUMBER(SEARCH("Miramar",C148))),NOT(ISNUMBER(SEARCH("historical",F148)))),"P148",IF(OR(ISNUMBER(SEARCH("historical",F148)),H148="Low",ISNUMBER(SEARCH("to verify",F148)),ISNUMBER(SEARCH("requires verification",F148))),"Backlog","P149")))))</f>
        <v>P148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 t="s">
        <v>429</v>
      </c>
      <c r="B149" s="4"/>
      <c r="C149" s="4" t="s">
        <v>425</v>
      </c>
      <c r="D149" s="4" t="s">
        <v>328</v>
      </c>
      <c r="E149" s="4"/>
      <c r="F149" s="4" t="s">
        <v>568</v>
      </c>
      <c r="G149" s="4" t="s">
        <v>61</v>
      </c>
      <c r="H149" s="4" t="s">
        <v>180</v>
      </c>
      <c r="I149" s="4" t="s">
        <v>569</v>
      </c>
      <c r="J149" s="4" t="s">
        <v>423</v>
      </c>
      <c r="K149" s="4" t="s">
        <v>570</v>
      </c>
      <c r="L149" s="4" t="str">
        <f>IF(A149="","",IF(OR(COUNTIF('Priority Rules'!$A$2:$A$24,A149)&gt;0,COUNTIF('Priority Rules'!$B$2:$B$8,B149)&gt;0),"P148",IF(COUNTIF('Priority Rules'!$C$2:$C$9,A149)&gt;0,"P149",IF(AND(OR(ISNUMBER(SEARCH("Varadero",C149)),ISNUMBER(SEARCH("Cayo Coco",C149)),ISNUMBER(SEARCH("Cayo Santa María",C149)),ISNUMBER(SEARCH("Cayo Santa Maria",C149)),ISNUMBER(SEARCH("Cayo Guillermo",C149)),ISNUMBER(SEARCH("Cayo Las Brujas",C149)),ISNUMBER(SEARCH("Cayo Ensenachos",C149)),ISNUMBER(SEARCH("Holguín",C149)),ISNUMBER(SEARCH("Holguin",C149)),ISNUMBER(SEARCH("Havana",C149)),ISNUMBER(SEARCH("Old Havana",C149)),ISNUMBER(SEARCH("Vedado",C149)),ISNUMBER(SEARCH("Miramar",C149))),NOT(ISNUMBER(SEARCH("historical",F149)))),"P149",IF(OR(ISNUMBER(SEARCH("historical",F149)),H149="Low",ISNUMBER(SEARCH("to verify",F149)),ISNUMBER(SEARCH("requires verification",F149))),"Backlog","P150")))))</f>
        <v>P149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">
        <v>430</v>
      </c>
      <c r="B150" s="4"/>
      <c r="C150" s="4" t="s">
        <v>425</v>
      </c>
      <c r="D150" s="4" t="s">
        <v>301</v>
      </c>
      <c r="E150" s="4"/>
      <c r="F150" s="4" t="s">
        <v>568</v>
      </c>
      <c r="G150" s="4" t="s">
        <v>61</v>
      </c>
      <c r="H150" s="4" t="s">
        <v>180</v>
      </c>
      <c r="I150" s="4" t="s">
        <v>569</v>
      </c>
      <c r="J150" s="4" t="s">
        <v>423</v>
      </c>
      <c r="K150" s="4" t="s">
        <v>570</v>
      </c>
      <c r="L150" s="4" t="str">
        <f>IF(A150="","",IF(OR(COUNTIF('Priority Rules'!$A$2:$A$24,A150)&gt;0,COUNTIF('Priority Rules'!$B$2:$B$8,B150)&gt;0),"P149",IF(COUNTIF('Priority Rules'!$C$2:$C$9,A150)&gt;0,"P150",IF(AND(OR(ISNUMBER(SEARCH("Varadero",C150)),ISNUMBER(SEARCH("Cayo Coco",C150)),ISNUMBER(SEARCH("Cayo Santa María",C150)),ISNUMBER(SEARCH("Cayo Santa Maria",C150)),ISNUMBER(SEARCH("Cayo Guillermo",C150)),ISNUMBER(SEARCH("Cayo Las Brujas",C150)),ISNUMBER(SEARCH("Cayo Ensenachos",C150)),ISNUMBER(SEARCH("Holguín",C150)),ISNUMBER(SEARCH("Holguin",C150)),ISNUMBER(SEARCH("Havana",C150)),ISNUMBER(SEARCH("Old Havana",C150)),ISNUMBER(SEARCH("Vedado",C150)),ISNUMBER(SEARCH("Miramar",C150))),NOT(ISNUMBER(SEARCH("historical",F150)))),"P150",IF(OR(ISNUMBER(SEARCH("historical",F150)),H150="Low",ISNUMBER(SEARCH("to verify",F150)),ISNUMBER(SEARCH("requires verification",F150))),"Backlog","P151")))))</f>
        <v>P149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 t="s">
        <v>431</v>
      </c>
      <c r="B151" s="4"/>
      <c r="C151" s="4" t="s">
        <v>425</v>
      </c>
      <c r="D151" s="4" t="s">
        <v>432</v>
      </c>
      <c r="E151" s="4"/>
      <c r="F151" s="4" t="s">
        <v>568</v>
      </c>
      <c r="G151" s="4" t="s">
        <v>61</v>
      </c>
      <c r="H151" s="4" t="s">
        <v>180</v>
      </c>
      <c r="I151" s="4" t="s">
        <v>569</v>
      </c>
      <c r="J151" s="4" t="s">
        <v>423</v>
      </c>
      <c r="K151" s="4" t="s">
        <v>570</v>
      </c>
      <c r="L151" s="4" t="str">
        <f>IF(A151="","",IF(OR(COUNTIF('Priority Rules'!$A$2:$A$24,A151)&gt;0,COUNTIF('Priority Rules'!$B$2:$B$8,B151)&gt;0),"P150",IF(COUNTIF('Priority Rules'!$C$2:$C$9,A151)&gt;0,"P151",IF(AND(OR(ISNUMBER(SEARCH("Varadero",C151)),ISNUMBER(SEARCH("Cayo Coco",C151)),ISNUMBER(SEARCH("Cayo Santa María",C151)),ISNUMBER(SEARCH("Cayo Santa Maria",C151)),ISNUMBER(SEARCH("Cayo Guillermo",C151)),ISNUMBER(SEARCH("Cayo Las Brujas",C151)),ISNUMBER(SEARCH("Cayo Ensenachos",C151)),ISNUMBER(SEARCH("Holguín",C151)),ISNUMBER(SEARCH("Holguin",C151)),ISNUMBER(SEARCH("Havana",C151)),ISNUMBER(SEARCH("Old Havana",C151)),ISNUMBER(SEARCH("Vedado",C151)),ISNUMBER(SEARCH("Miramar",C151))),NOT(ISNUMBER(SEARCH("historical",F151)))),"P151",IF(OR(ISNUMBER(SEARCH("historical",F151)),H151="Low",ISNUMBER(SEARCH("to verify",F151)),ISNUMBER(SEARCH("requires verification",F151))),"Backlog","P152")))))</f>
        <v>P151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">
        <v>434</v>
      </c>
      <c r="B152" s="4"/>
      <c r="C152" s="4" t="s">
        <v>435</v>
      </c>
      <c r="D152" s="4" t="s">
        <v>151</v>
      </c>
      <c r="E152" s="4"/>
      <c r="F152" s="4" t="s">
        <v>568</v>
      </c>
      <c r="G152" s="4" t="s">
        <v>61</v>
      </c>
      <c r="H152" s="4" t="s">
        <v>180</v>
      </c>
      <c r="I152" s="4" t="s">
        <v>569</v>
      </c>
      <c r="J152" s="4" t="s">
        <v>423</v>
      </c>
      <c r="K152" s="4" t="s">
        <v>570</v>
      </c>
      <c r="L152" s="4" t="str">
        <f>IF(A152="","",IF(OR(COUNTIF('Priority Rules'!$A$2:$A$24,A152)&gt;0,COUNTIF('Priority Rules'!$B$2:$B$8,B152)&gt;0),"P151",IF(COUNTIF('Priority Rules'!$C$2:$C$9,A152)&gt;0,"P152",IF(AND(OR(ISNUMBER(SEARCH("Varadero",C152)),ISNUMBER(SEARCH("Cayo Coco",C152)),ISNUMBER(SEARCH("Cayo Santa María",C152)),ISNUMBER(SEARCH("Cayo Santa Maria",C152)),ISNUMBER(SEARCH("Cayo Guillermo",C152)),ISNUMBER(SEARCH("Cayo Las Brujas",C152)),ISNUMBER(SEARCH("Cayo Ensenachos",C152)),ISNUMBER(SEARCH("Holguín",C152)),ISNUMBER(SEARCH("Holguin",C152)),ISNUMBER(SEARCH("Havana",C152)),ISNUMBER(SEARCH("Old Havana",C152)),ISNUMBER(SEARCH("Vedado",C152)),ISNUMBER(SEARCH("Miramar",C152))),NOT(ISNUMBER(SEARCH("historical",F152)))),"P152",IF(OR(ISNUMBER(SEARCH("historical",F152)),H152="Low",ISNUMBER(SEARCH("to verify",F152)),ISNUMBER(SEARCH("requires verification",F152))),"Backlog","P153")))))</f>
        <v>P152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">
        <v>436</v>
      </c>
      <c r="B153" s="4"/>
      <c r="C153" s="4" t="s">
        <v>425</v>
      </c>
      <c r="D153" s="4" t="s">
        <v>437</v>
      </c>
      <c r="E153" s="4"/>
      <c r="F153" s="4" t="s">
        <v>568</v>
      </c>
      <c r="G153" s="4" t="s">
        <v>61</v>
      </c>
      <c r="H153" s="4" t="s">
        <v>180</v>
      </c>
      <c r="I153" s="4" t="s">
        <v>569</v>
      </c>
      <c r="J153" s="4" t="s">
        <v>423</v>
      </c>
      <c r="K153" s="4" t="s">
        <v>570</v>
      </c>
      <c r="L153" s="4" t="str">
        <f>IF(A153="","",IF(OR(COUNTIF('Priority Rules'!$A$2:$A$24,A153)&gt;0,COUNTIF('Priority Rules'!$B$2:$B$8,B153)&gt;0),"P152",IF(COUNTIF('Priority Rules'!$C$2:$C$9,A153)&gt;0,"P153",IF(AND(OR(ISNUMBER(SEARCH("Varadero",C153)),ISNUMBER(SEARCH("Cayo Coco",C153)),ISNUMBER(SEARCH("Cayo Santa María",C153)),ISNUMBER(SEARCH("Cayo Santa Maria",C153)),ISNUMBER(SEARCH("Cayo Guillermo",C153)),ISNUMBER(SEARCH("Cayo Las Brujas",C153)),ISNUMBER(SEARCH("Cayo Ensenachos",C153)),ISNUMBER(SEARCH("Holguín",C153)),ISNUMBER(SEARCH("Holguin",C153)),ISNUMBER(SEARCH("Havana",C153)),ISNUMBER(SEARCH("Old Havana",C153)),ISNUMBER(SEARCH("Vedado",C153)),ISNUMBER(SEARCH("Miramar",C153))),NOT(ISNUMBER(SEARCH("historical",F153)))),"P153",IF(OR(ISNUMBER(SEARCH("historical",F153)),H153="Low",ISNUMBER(SEARCH("to verify",F153)),ISNUMBER(SEARCH("requires verification",F153))),"Backlog","P154")))))</f>
        <v>P153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">
        <v>438</v>
      </c>
      <c r="B154" s="4"/>
      <c r="C154" s="4" t="s">
        <v>425</v>
      </c>
      <c r="D154" s="4" t="s">
        <v>437</v>
      </c>
      <c r="E154" s="4"/>
      <c r="F154" s="4" t="s">
        <v>568</v>
      </c>
      <c r="G154" s="4" t="s">
        <v>61</v>
      </c>
      <c r="H154" s="4" t="s">
        <v>180</v>
      </c>
      <c r="I154" s="4" t="s">
        <v>569</v>
      </c>
      <c r="J154" s="4" t="s">
        <v>423</v>
      </c>
      <c r="K154" s="4" t="s">
        <v>570</v>
      </c>
      <c r="L154" s="4" t="str">
        <f>IF(A154="","",IF(OR(COUNTIF('Priority Rules'!$A$2:$A$24,A154)&gt;0,COUNTIF('Priority Rules'!$B$2:$B$8,B154)&gt;0),"P153",IF(COUNTIF('Priority Rules'!$C$2:$C$9,A154)&gt;0,"P154",IF(AND(OR(ISNUMBER(SEARCH("Varadero",C154)),ISNUMBER(SEARCH("Cayo Coco",C154)),ISNUMBER(SEARCH("Cayo Santa María",C154)),ISNUMBER(SEARCH("Cayo Santa Maria",C154)),ISNUMBER(SEARCH("Cayo Guillermo",C154)),ISNUMBER(SEARCH("Cayo Las Brujas",C154)),ISNUMBER(SEARCH("Cayo Ensenachos",C154)),ISNUMBER(SEARCH("Holguín",C154)),ISNUMBER(SEARCH("Holguin",C154)),ISNUMBER(SEARCH("Havana",C154)),ISNUMBER(SEARCH("Old Havana",C154)),ISNUMBER(SEARCH("Vedado",C154)),ISNUMBER(SEARCH("Miramar",C154))),NOT(ISNUMBER(SEARCH("historical",F154)))),"P154",IF(OR(ISNUMBER(SEARCH("historical",F154)),H154="Low",ISNUMBER(SEARCH("to verify",F154)),ISNUMBER(SEARCH("requires verification",F154))),"Backlog","P155")))))</f>
        <v>P154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">
        <v>439</v>
      </c>
      <c r="B155" s="4"/>
      <c r="C155" s="4" t="s">
        <v>435</v>
      </c>
      <c r="D155" s="4" t="s">
        <v>440</v>
      </c>
      <c r="E155" s="4"/>
      <c r="F155" s="4" t="s">
        <v>568</v>
      </c>
      <c r="G155" s="4" t="s">
        <v>61</v>
      </c>
      <c r="H155" s="4" t="s">
        <v>180</v>
      </c>
      <c r="I155" s="4" t="s">
        <v>569</v>
      </c>
      <c r="J155" s="4" t="s">
        <v>423</v>
      </c>
      <c r="K155" s="4" t="s">
        <v>570</v>
      </c>
      <c r="L155" s="4" t="str">
        <f>IF(A155="","",IF(OR(COUNTIF('Priority Rules'!$A$2:$A$24,A155)&gt;0,COUNTIF('Priority Rules'!$B$2:$B$8,B155)&gt;0),"P154",IF(COUNTIF('Priority Rules'!$C$2:$C$9,A155)&gt;0,"P155",IF(AND(OR(ISNUMBER(SEARCH("Varadero",C155)),ISNUMBER(SEARCH("Cayo Coco",C155)),ISNUMBER(SEARCH("Cayo Santa María",C155)),ISNUMBER(SEARCH("Cayo Santa Maria",C155)),ISNUMBER(SEARCH("Cayo Guillermo",C155)),ISNUMBER(SEARCH("Cayo Las Brujas",C155)),ISNUMBER(SEARCH("Cayo Ensenachos",C155)),ISNUMBER(SEARCH("Holguín",C155)),ISNUMBER(SEARCH("Holguin",C155)),ISNUMBER(SEARCH("Havana",C155)),ISNUMBER(SEARCH("Old Havana",C155)),ISNUMBER(SEARCH("Vedado",C155)),ISNUMBER(SEARCH("Miramar",C155))),NOT(ISNUMBER(SEARCH("historical",F155)))),"P155",IF(OR(ISNUMBER(SEARCH("historical",F155)),H155="Low",ISNUMBER(SEARCH("to verify",F155)),ISNUMBER(SEARCH("requires verification",F155))),"Backlog","P156")))))</f>
        <v>P154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">
        <v>441</v>
      </c>
      <c r="B156" s="4"/>
      <c r="C156" s="4" t="s">
        <v>435</v>
      </c>
      <c r="D156" s="4" t="s">
        <v>351</v>
      </c>
      <c r="E156" s="4"/>
      <c r="F156" s="4" t="s">
        <v>568</v>
      </c>
      <c r="G156" s="4" t="s">
        <v>61</v>
      </c>
      <c r="H156" s="4" t="s">
        <v>180</v>
      </c>
      <c r="I156" s="4" t="s">
        <v>569</v>
      </c>
      <c r="J156" s="4" t="s">
        <v>423</v>
      </c>
      <c r="K156" s="4" t="s">
        <v>570</v>
      </c>
      <c r="L156" s="4" t="str">
        <f>IF(A156="","",IF(OR(COUNTIF('Priority Rules'!$A$2:$A$24,A156)&gt;0,COUNTIF('Priority Rules'!$B$2:$B$8,B156)&gt;0),"P155",IF(COUNTIF('Priority Rules'!$C$2:$C$9,A156)&gt;0,"P156",IF(AND(OR(ISNUMBER(SEARCH("Varadero",C156)),ISNUMBER(SEARCH("Cayo Coco",C156)),ISNUMBER(SEARCH("Cayo Santa María",C156)),ISNUMBER(SEARCH("Cayo Santa Maria",C156)),ISNUMBER(SEARCH("Cayo Guillermo",C156)),ISNUMBER(SEARCH("Cayo Las Brujas",C156)),ISNUMBER(SEARCH("Cayo Ensenachos",C156)),ISNUMBER(SEARCH("Holguín",C156)),ISNUMBER(SEARCH("Holguin",C156)),ISNUMBER(SEARCH("Havana",C156)),ISNUMBER(SEARCH("Old Havana",C156)),ISNUMBER(SEARCH("Vedado",C156)),ISNUMBER(SEARCH("Miramar",C156))),NOT(ISNUMBER(SEARCH("historical",F156)))),"P156",IF(OR(ISNUMBER(SEARCH("historical",F156)),H156="Low",ISNUMBER(SEARCH("to verify",F156)),ISNUMBER(SEARCH("requires verification",F156))),"Backlog","P157")))))</f>
        <v>P156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">
        <v>442</v>
      </c>
      <c r="B157" s="4"/>
      <c r="C157" s="4" t="s">
        <v>425</v>
      </c>
      <c r="D157" s="4" t="s">
        <v>443</v>
      </c>
      <c r="E157" s="4"/>
      <c r="F157" s="4" t="s">
        <v>568</v>
      </c>
      <c r="G157" s="4" t="s">
        <v>61</v>
      </c>
      <c r="H157" s="4" t="s">
        <v>180</v>
      </c>
      <c r="I157" s="4" t="s">
        <v>569</v>
      </c>
      <c r="J157" s="4" t="s">
        <v>423</v>
      </c>
      <c r="K157" s="4" t="s">
        <v>570</v>
      </c>
      <c r="L157" s="4" t="str">
        <f>IF(A157="","",IF(OR(COUNTIF('Priority Rules'!$A$2:$A$24,A157)&gt;0,COUNTIF('Priority Rules'!$B$2:$B$8,B157)&gt;0),"P156",IF(COUNTIF('Priority Rules'!$C$2:$C$9,A157)&gt;0,"P157",IF(AND(OR(ISNUMBER(SEARCH("Varadero",C157)),ISNUMBER(SEARCH("Cayo Coco",C157)),ISNUMBER(SEARCH("Cayo Santa María",C157)),ISNUMBER(SEARCH("Cayo Santa Maria",C157)),ISNUMBER(SEARCH("Cayo Guillermo",C157)),ISNUMBER(SEARCH("Cayo Las Brujas",C157)),ISNUMBER(SEARCH("Cayo Ensenachos",C157)),ISNUMBER(SEARCH("Holguín",C157)),ISNUMBER(SEARCH("Holguin",C157)),ISNUMBER(SEARCH("Havana",C157)),ISNUMBER(SEARCH("Old Havana",C157)),ISNUMBER(SEARCH("Vedado",C157)),ISNUMBER(SEARCH("Miramar",C157))),NOT(ISNUMBER(SEARCH("historical",F157)))),"P157",IF(OR(ISNUMBER(SEARCH("historical",F157)),H157="Low",ISNUMBER(SEARCH("to verify",F157)),ISNUMBER(SEARCH("requires verification",F157))),"Backlog","P158")))))</f>
        <v>P157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444</v>
      </c>
      <c r="B158" s="4"/>
      <c r="C158" s="4" t="s">
        <v>425</v>
      </c>
      <c r="D158" s="4" t="s">
        <v>151</v>
      </c>
      <c r="E158" s="4"/>
      <c r="F158" s="4" t="s">
        <v>568</v>
      </c>
      <c r="G158" s="4" t="s">
        <v>61</v>
      </c>
      <c r="H158" s="4" t="s">
        <v>180</v>
      </c>
      <c r="I158" s="4" t="s">
        <v>569</v>
      </c>
      <c r="J158" s="4" t="s">
        <v>423</v>
      </c>
      <c r="K158" s="4" t="s">
        <v>570</v>
      </c>
      <c r="L158" s="4" t="str">
        <f>IF(A158="","",IF(OR(COUNTIF('Priority Rules'!$A$2:$A$24,A158)&gt;0,COUNTIF('Priority Rules'!$B$2:$B$8,B158)&gt;0),"P157",IF(COUNTIF('Priority Rules'!$C$2:$C$9,A158)&gt;0,"P158",IF(AND(OR(ISNUMBER(SEARCH("Varadero",C158)),ISNUMBER(SEARCH("Cayo Coco",C158)),ISNUMBER(SEARCH("Cayo Santa María",C158)),ISNUMBER(SEARCH("Cayo Santa Maria",C158)),ISNUMBER(SEARCH("Cayo Guillermo",C158)),ISNUMBER(SEARCH("Cayo Las Brujas",C158)),ISNUMBER(SEARCH("Cayo Ensenachos",C158)),ISNUMBER(SEARCH("Holguín",C158)),ISNUMBER(SEARCH("Holguin",C158)),ISNUMBER(SEARCH("Havana",C158)),ISNUMBER(SEARCH("Old Havana",C158)),ISNUMBER(SEARCH("Vedado",C158)),ISNUMBER(SEARCH("Miramar",C158))),NOT(ISNUMBER(SEARCH("historical",F158)))),"P158",IF(OR(ISNUMBER(SEARCH("historical",F158)),H158="Low",ISNUMBER(SEARCH("to verify",F158)),ISNUMBER(SEARCH("requires verification",F158))),"Backlog","P159")))))</f>
        <v>P158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">
        <v>445</v>
      </c>
      <c r="B159" s="4"/>
      <c r="C159" s="4" t="s">
        <v>435</v>
      </c>
      <c r="D159" s="4" t="s">
        <v>440</v>
      </c>
      <c r="E159" s="4"/>
      <c r="F159" s="4" t="s">
        <v>568</v>
      </c>
      <c r="G159" s="4" t="s">
        <v>61</v>
      </c>
      <c r="H159" s="4" t="s">
        <v>180</v>
      </c>
      <c r="I159" s="4" t="s">
        <v>569</v>
      </c>
      <c r="J159" s="4" t="s">
        <v>423</v>
      </c>
      <c r="K159" s="4" t="s">
        <v>570</v>
      </c>
      <c r="L159" s="4" t="str">
        <f>IF(A159="","",IF(OR(COUNTIF('Priority Rules'!$A$2:$A$24,A159)&gt;0,COUNTIF('Priority Rules'!$B$2:$B$8,B159)&gt;0),"P158",IF(COUNTIF('Priority Rules'!$C$2:$C$9,A159)&gt;0,"P159",IF(AND(OR(ISNUMBER(SEARCH("Varadero",C159)),ISNUMBER(SEARCH("Cayo Coco",C159)),ISNUMBER(SEARCH("Cayo Santa María",C159)),ISNUMBER(SEARCH("Cayo Santa Maria",C159)),ISNUMBER(SEARCH("Cayo Guillermo",C159)),ISNUMBER(SEARCH("Cayo Las Brujas",C159)),ISNUMBER(SEARCH("Cayo Ensenachos",C159)),ISNUMBER(SEARCH("Holguín",C159)),ISNUMBER(SEARCH("Holguin",C159)),ISNUMBER(SEARCH("Havana",C159)),ISNUMBER(SEARCH("Old Havana",C159)),ISNUMBER(SEARCH("Vedado",C159)),ISNUMBER(SEARCH("Miramar",C159))),NOT(ISNUMBER(SEARCH("historical",F159)))),"P159",IF(OR(ISNUMBER(SEARCH("historical",F159)),H159="Low",ISNUMBER(SEARCH("to verify",F159)),ISNUMBER(SEARCH("requires verification",F159))),"Backlog","P160")))))</f>
        <v>P159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">
        <v>447</v>
      </c>
      <c r="B160" s="4"/>
      <c r="C160" s="4" t="s">
        <v>425</v>
      </c>
      <c r="D160" s="4" t="s">
        <v>448</v>
      </c>
      <c r="E160" s="4"/>
      <c r="F160" s="4" t="s">
        <v>568</v>
      </c>
      <c r="G160" s="4" t="s">
        <v>61</v>
      </c>
      <c r="H160" s="4" t="s">
        <v>180</v>
      </c>
      <c r="I160" s="4" t="s">
        <v>569</v>
      </c>
      <c r="J160" s="4" t="s">
        <v>423</v>
      </c>
      <c r="K160" s="4" t="s">
        <v>570</v>
      </c>
      <c r="L160" s="4" t="str">
        <f>IF(A160="","",IF(OR(COUNTIF('Priority Rules'!$A$2:$A$24,A160)&gt;0,COUNTIF('Priority Rules'!$B$2:$B$8,B160)&gt;0),"P159",IF(COUNTIF('Priority Rules'!$C$2:$C$9,A160)&gt;0,"P160",IF(AND(OR(ISNUMBER(SEARCH("Varadero",C160)),ISNUMBER(SEARCH("Cayo Coco",C160)),ISNUMBER(SEARCH("Cayo Santa María",C160)),ISNUMBER(SEARCH("Cayo Santa Maria",C160)),ISNUMBER(SEARCH("Cayo Guillermo",C160)),ISNUMBER(SEARCH("Cayo Las Brujas",C160)),ISNUMBER(SEARCH("Cayo Ensenachos",C160)),ISNUMBER(SEARCH("Holguín",C160)),ISNUMBER(SEARCH("Holguin",C160)),ISNUMBER(SEARCH("Havana",C160)),ISNUMBER(SEARCH("Old Havana",C160)),ISNUMBER(SEARCH("Vedado",C160)),ISNUMBER(SEARCH("Miramar",C160))),NOT(ISNUMBER(SEARCH("historical",F160)))),"P160",IF(OR(ISNUMBER(SEARCH("historical",F160)),H160="Low",ISNUMBER(SEARCH("to verify",F160)),ISNUMBER(SEARCH("requires verification",F160))),"Backlog","P161")))))</f>
        <v>P159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">
        <v>449</v>
      </c>
      <c r="B161" s="4"/>
      <c r="C161" s="4" t="s">
        <v>425</v>
      </c>
      <c r="D161" s="4" t="s">
        <v>151</v>
      </c>
      <c r="E161" s="4"/>
      <c r="F161" s="4" t="s">
        <v>568</v>
      </c>
      <c r="G161" s="4" t="s">
        <v>61</v>
      </c>
      <c r="H161" s="4" t="s">
        <v>180</v>
      </c>
      <c r="I161" s="4" t="s">
        <v>569</v>
      </c>
      <c r="J161" s="4" t="s">
        <v>423</v>
      </c>
      <c r="K161" s="4" t="s">
        <v>570</v>
      </c>
      <c r="L161" s="4" t="str">
        <f>IF(A161="","",IF(OR(COUNTIF('Priority Rules'!$A$2:$A$24,A161)&gt;0,COUNTIF('Priority Rules'!$B$2:$B$8,B161)&gt;0),"P160",IF(COUNTIF('Priority Rules'!$C$2:$C$9,A161)&gt;0,"P161",IF(AND(OR(ISNUMBER(SEARCH("Varadero",C161)),ISNUMBER(SEARCH("Cayo Coco",C161)),ISNUMBER(SEARCH("Cayo Santa María",C161)),ISNUMBER(SEARCH("Cayo Santa Maria",C161)),ISNUMBER(SEARCH("Cayo Guillermo",C161)),ISNUMBER(SEARCH("Cayo Las Brujas",C161)),ISNUMBER(SEARCH("Cayo Ensenachos",C161)),ISNUMBER(SEARCH("Holguín",C161)),ISNUMBER(SEARCH("Holguin",C161)),ISNUMBER(SEARCH("Havana",C161)),ISNUMBER(SEARCH("Old Havana",C161)),ISNUMBER(SEARCH("Vedado",C161)),ISNUMBER(SEARCH("Miramar",C161))),NOT(ISNUMBER(SEARCH("historical",F161)))),"P161",IF(OR(ISNUMBER(SEARCH("historical",F161)),H161="Low",ISNUMBER(SEARCH("to verify",F161)),ISNUMBER(SEARCH("requires verification",F161))),"Backlog","P162")))))</f>
        <v>P161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">
        <v>450</v>
      </c>
      <c r="B162" s="4"/>
      <c r="C162" s="4" t="s">
        <v>451</v>
      </c>
      <c r="D162" s="4" t="s">
        <v>135</v>
      </c>
      <c r="E162" s="4"/>
      <c r="F162" s="4" t="s">
        <v>568</v>
      </c>
      <c r="G162" s="4" t="s">
        <v>61</v>
      </c>
      <c r="H162" s="4" t="s">
        <v>180</v>
      </c>
      <c r="I162" s="4" t="s">
        <v>569</v>
      </c>
      <c r="J162" s="4" t="s">
        <v>423</v>
      </c>
      <c r="K162" s="4" t="s">
        <v>570</v>
      </c>
      <c r="L162" s="4" t="str">
        <f>IF(A162="","",IF(OR(COUNTIF('Priority Rules'!$A$2:$A$24,A162)&gt;0,COUNTIF('Priority Rules'!$B$2:$B$8,B162)&gt;0),"P161",IF(COUNTIF('Priority Rules'!$C$2:$C$9,A162)&gt;0,"P162",IF(AND(OR(ISNUMBER(SEARCH("Varadero",C162)),ISNUMBER(SEARCH("Cayo Coco",C162)),ISNUMBER(SEARCH("Cayo Santa María",C162)),ISNUMBER(SEARCH("Cayo Santa Maria",C162)),ISNUMBER(SEARCH("Cayo Guillermo",C162)),ISNUMBER(SEARCH("Cayo Las Brujas",C162)),ISNUMBER(SEARCH("Cayo Ensenachos",C162)),ISNUMBER(SEARCH("Holguín",C162)),ISNUMBER(SEARCH("Holguin",C162)),ISNUMBER(SEARCH("Havana",C162)),ISNUMBER(SEARCH("Old Havana",C162)),ISNUMBER(SEARCH("Vedado",C162)),ISNUMBER(SEARCH("Miramar",C162))),NOT(ISNUMBER(SEARCH("historical",F162)))),"P162",IF(OR(ISNUMBER(SEARCH("historical",F162)),H162="Low",ISNUMBER(SEARCH("to verify",F162)),ISNUMBER(SEARCH("requires verification",F162))),"Backlog","P163")))))</f>
        <v>P163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">
        <v>456</v>
      </c>
      <c r="B163" s="4"/>
      <c r="C163" s="4" t="s">
        <v>451</v>
      </c>
      <c r="D163" s="4" t="s">
        <v>135</v>
      </c>
      <c r="E163" s="4"/>
      <c r="F163" s="4" t="s">
        <v>568</v>
      </c>
      <c r="G163" s="4" t="s">
        <v>61</v>
      </c>
      <c r="H163" s="4" t="s">
        <v>180</v>
      </c>
      <c r="I163" s="4" t="s">
        <v>569</v>
      </c>
      <c r="J163" s="4" t="s">
        <v>423</v>
      </c>
      <c r="K163" s="4" t="s">
        <v>570</v>
      </c>
      <c r="L163" s="4" t="str">
        <f>IF(A163="","",IF(OR(COUNTIF('Priority Rules'!$A$2:$A$24,A163)&gt;0,COUNTIF('Priority Rules'!$B$2:$B$8,B163)&gt;0),"P162",IF(COUNTIF('Priority Rules'!$C$2:$C$9,A163)&gt;0,"P163",IF(AND(OR(ISNUMBER(SEARCH("Varadero",C163)),ISNUMBER(SEARCH("Cayo Coco",C163)),ISNUMBER(SEARCH("Cayo Santa María",C163)),ISNUMBER(SEARCH("Cayo Santa Maria",C163)),ISNUMBER(SEARCH("Cayo Guillermo",C163)),ISNUMBER(SEARCH("Cayo Las Brujas",C163)),ISNUMBER(SEARCH("Cayo Ensenachos",C163)),ISNUMBER(SEARCH("Holguín",C163)),ISNUMBER(SEARCH("Holguin",C163)),ISNUMBER(SEARCH("Havana",C163)),ISNUMBER(SEARCH("Old Havana",C163)),ISNUMBER(SEARCH("Vedado",C163)),ISNUMBER(SEARCH("Miramar",C163))),NOT(ISNUMBER(SEARCH("historical",F163)))),"P163",IF(OR(ISNUMBER(SEARCH("historical",F163)),H163="Low",ISNUMBER(SEARCH("to verify",F163)),ISNUMBER(SEARCH("requires verification",F163))),"Backlog","P164")))))</f>
        <v>P164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">
        <v>457</v>
      </c>
      <c r="B164" s="4"/>
      <c r="C164" s="4" t="s">
        <v>451</v>
      </c>
      <c r="D164" s="4" t="s">
        <v>135</v>
      </c>
      <c r="E164" s="4"/>
      <c r="F164" s="4" t="s">
        <v>568</v>
      </c>
      <c r="G164" s="4" t="s">
        <v>61</v>
      </c>
      <c r="H164" s="4" t="s">
        <v>180</v>
      </c>
      <c r="I164" s="4" t="s">
        <v>569</v>
      </c>
      <c r="J164" s="4" t="s">
        <v>423</v>
      </c>
      <c r="K164" s="4" t="s">
        <v>570</v>
      </c>
      <c r="L164" s="4" t="str">
        <f>IF(A164="","",IF(OR(COUNTIF('Priority Rules'!$A$2:$A$24,A164)&gt;0,COUNTIF('Priority Rules'!$B$2:$B$8,B164)&gt;0),"P163",IF(COUNTIF('Priority Rules'!$C$2:$C$9,A164)&gt;0,"P164",IF(AND(OR(ISNUMBER(SEARCH("Varadero",C164)),ISNUMBER(SEARCH("Cayo Coco",C164)),ISNUMBER(SEARCH("Cayo Santa María",C164)),ISNUMBER(SEARCH("Cayo Santa Maria",C164)),ISNUMBER(SEARCH("Cayo Guillermo",C164)),ISNUMBER(SEARCH("Cayo Las Brujas",C164)),ISNUMBER(SEARCH("Cayo Ensenachos",C164)),ISNUMBER(SEARCH("Holguín",C164)),ISNUMBER(SEARCH("Holguin",C164)),ISNUMBER(SEARCH("Havana",C164)),ISNUMBER(SEARCH("Old Havana",C164)),ISNUMBER(SEARCH("Vedado",C164)),ISNUMBER(SEARCH("Miramar",C164))),NOT(ISNUMBER(SEARCH("historical",F164)))),"P164",IF(OR(ISNUMBER(SEARCH("historical",F164)),H164="Low",ISNUMBER(SEARCH("to verify",F164)),ISNUMBER(SEARCH("requires verification",F164))),"Backlog","P165")))))</f>
        <v>P165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">
        <v>458</v>
      </c>
      <c r="B165" s="4"/>
      <c r="C165" s="4" t="s">
        <v>451</v>
      </c>
      <c r="D165" s="4" t="s">
        <v>135</v>
      </c>
      <c r="E165" s="4"/>
      <c r="F165" s="4" t="s">
        <v>568</v>
      </c>
      <c r="G165" s="4" t="s">
        <v>61</v>
      </c>
      <c r="H165" s="4" t="s">
        <v>180</v>
      </c>
      <c r="I165" s="4" t="s">
        <v>569</v>
      </c>
      <c r="J165" s="4" t="s">
        <v>423</v>
      </c>
      <c r="K165" s="4" t="s">
        <v>570</v>
      </c>
      <c r="L165" s="4" t="str">
        <f>IF(A165="","",IF(OR(COUNTIF('Priority Rules'!$A$2:$A$24,A165)&gt;0,COUNTIF('Priority Rules'!$B$2:$B$8,B165)&gt;0),"P164",IF(COUNTIF('Priority Rules'!$C$2:$C$9,A165)&gt;0,"P165",IF(AND(OR(ISNUMBER(SEARCH("Varadero",C165)),ISNUMBER(SEARCH("Cayo Coco",C165)),ISNUMBER(SEARCH("Cayo Santa María",C165)),ISNUMBER(SEARCH("Cayo Santa Maria",C165)),ISNUMBER(SEARCH("Cayo Guillermo",C165)),ISNUMBER(SEARCH("Cayo Las Brujas",C165)),ISNUMBER(SEARCH("Cayo Ensenachos",C165)),ISNUMBER(SEARCH("Holguín",C165)),ISNUMBER(SEARCH("Holguin",C165)),ISNUMBER(SEARCH("Havana",C165)),ISNUMBER(SEARCH("Old Havana",C165)),ISNUMBER(SEARCH("Vedado",C165)),ISNUMBER(SEARCH("Miramar",C165))),NOT(ISNUMBER(SEARCH("historical",F165)))),"P165",IF(OR(ISNUMBER(SEARCH("historical",F165)),H165="Low",ISNUMBER(SEARCH("to verify",F165)),ISNUMBER(SEARCH("requires verification",F165))),"Backlog","P166")))))</f>
        <v>P166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 t="s">
        <v>459</v>
      </c>
      <c r="B166" s="4"/>
      <c r="C166" s="4" t="s">
        <v>451</v>
      </c>
      <c r="D166" s="4" t="s">
        <v>135</v>
      </c>
      <c r="E166" s="4"/>
      <c r="F166" s="4" t="s">
        <v>568</v>
      </c>
      <c r="G166" s="4" t="s">
        <v>61</v>
      </c>
      <c r="H166" s="4" t="s">
        <v>180</v>
      </c>
      <c r="I166" s="4" t="s">
        <v>569</v>
      </c>
      <c r="J166" s="4" t="s">
        <v>423</v>
      </c>
      <c r="K166" s="4" t="s">
        <v>570</v>
      </c>
      <c r="L166" s="4" t="str">
        <f>IF(A166="","",IF(OR(COUNTIF('Priority Rules'!$A$2:$A$24,A166)&gt;0,COUNTIF('Priority Rules'!$B$2:$B$8,B166)&gt;0),"P165",IF(COUNTIF('Priority Rules'!$C$2:$C$9,A166)&gt;0,"P166",IF(AND(OR(ISNUMBER(SEARCH("Varadero",C166)),ISNUMBER(SEARCH("Cayo Coco",C166)),ISNUMBER(SEARCH("Cayo Santa María",C166)),ISNUMBER(SEARCH("Cayo Santa Maria",C166)),ISNUMBER(SEARCH("Cayo Guillermo",C166)),ISNUMBER(SEARCH("Cayo Las Brujas",C166)),ISNUMBER(SEARCH("Cayo Ensenachos",C166)),ISNUMBER(SEARCH("Holguín",C166)),ISNUMBER(SEARCH("Holguin",C166)),ISNUMBER(SEARCH("Havana",C166)),ISNUMBER(SEARCH("Old Havana",C166)),ISNUMBER(SEARCH("Vedado",C166)),ISNUMBER(SEARCH("Miramar",C166))),NOT(ISNUMBER(SEARCH("historical",F166)))),"P166",IF(OR(ISNUMBER(SEARCH("historical",F166)),H166="Low",ISNUMBER(SEARCH("to verify",F166)),ISNUMBER(SEARCH("requires verification",F166))),"Backlog","P167")))))</f>
        <v>P167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 t="s">
        <v>460</v>
      </c>
      <c r="B167" s="4"/>
      <c r="C167" s="4" t="s">
        <v>461</v>
      </c>
      <c r="D167" s="4" t="s">
        <v>135</v>
      </c>
      <c r="E167" s="4"/>
      <c r="F167" s="4" t="s">
        <v>568</v>
      </c>
      <c r="G167" s="4" t="s">
        <v>61</v>
      </c>
      <c r="H167" s="4" t="s">
        <v>180</v>
      </c>
      <c r="I167" s="4" t="s">
        <v>569</v>
      </c>
      <c r="J167" s="4" t="s">
        <v>423</v>
      </c>
      <c r="K167" s="4" t="s">
        <v>570</v>
      </c>
      <c r="L167" s="4" t="str">
        <f>IF(A167="","",IF(OR(COUNTIF('Priority Rules'!$A$2:$A$24,A167)&gt;0,COUNTIF('Priority Rules'!$B$2:$B$8,B167)&gt;0),"P166",IF(COUNTIF('Priority Rules'!$C$2:$C$9,A167)&gt;0,"P167",IF(AND(OR(ISNUMBER(SEARCH("Varadero",C167)),ISNUMBER(SEARCH("Cayo Coco",C167)),ISNUMBER(SEARCH("Cayo Santa María",C167)),ISNUMBER(SEARCH("Cayo Santa Maria",C167)),ISNUMBER(SEARCH("Cayo Guillermo",C167)),ISNUMBER(SEARCH("Cayo Las Brujas",C167)),ISNUMBER(SEARCH("Cayo Ensenachos",C167)),ISNUMBER(SEARCH("Holguín",C167)),ISNUMBER(SEARCH("Holguin",C167)),ISNUMBER(SEARCH("Havana",C167)),ISNUMBER(SEARCH("Old Havana",C167)),ISNUMBER(SEARCH("Vedado",C167)),ISNUMBER(SEARCH("Miramar",C167))),NOT(ISNUMBER(SEARCH("historical",F167)))),"P167",IF(OR(ISNUMBER(SEARCH("historical",F167)),H167="Low",ISNUMBER(SEARCH("to verify",F167)),ISNUMBER(SEARCH("requires verification",F167))),"Backlog","P168")))))</f>
        <v>P168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">
        <v>463</v>
      </c>
      <c r="B168" s="4"/>
      <c r="C168" s="4" t="s">
        <v>461</v>
      </c>
      <c r="D168" s="4" t="s">
        <v>135</v>
      </c>
      <c r="E168" s="4"/>
      <c r="F168" s="4" t="s">
        <v>568</v>
      </c>
      <c r="G168" s="4" t="s">
        <v>61</v>
      </c>
      <c r="H168" s="4" t="s">
        <v>180</v>
      </c>
      <c r="I168" s="4" t="s">
        <v>569</v>
      </c>
      <c r="J168" s="4" t="s">
        <v>423</v>
      </c>
      <c r="K168" s="4" t="s">
        <v>570</v>
      </c>
      <c r="L168" s="4" t="str">
        <f>IF(A168="","",IF(OR(COUNTIF('Priority Rules'!$A$2:$A$24,A168)&gt;0,COUNTIF('Priority Rules'!$B$2:$B$8,B168)&gt;0),"P167",IF(COUNTIF('Priority Rules'!$C$2:$C$9,A168)&gt;0,"P168",IF(AND(OR(ISNUMBER(SEARCH("Varadero",C168)),ISNUMBER(SEARCH("Cayo Coco",C168)),ISNUMBER(SEARCH("Cayo Santa María",C168)),ISNUMBER(SEARCH("Cayo Santa Maria",C168)),ISNUMBER(SEARCH("Cayo Guillermo",C168)),ISNUMBER(SEARCH("Cayo Las Brujas",C168)),ISNUMBER(SEARCH("Cayo Ensenachos",C168)),ISNUMBER(SEARCH("Holguín",C168)),ISNUMBER(SEARCH("Holguin",C168)),ISNUMBER(SEARCH("Havana",C168)),ISNUMBER(SEARCH("Old Havana",C168)),ISNUMBER(SEARCH("Vedado",C168)),ISNUMBER(SEARCH("Miramar",C168))),NOT(ISNUMBER(SEARCH("historical",F168)))),"P168",IF(OR(ISNUMBER(SEARCH("historical",F168)),H168="Low",ISNUMBER(SEARCH("to verify",F168)),ISNUMBER(SEARCH("requires verification",F168))),"Backlog","P169")))))</f>
        <v>P169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 t="s">
        <v>464</v>
      </c>
      <c r="B169" s="4"/>
      <c r="C169" s="4" t="s">
        <v>465</v>
      </c>
      <c r="D169" s="4" t="s">
        <v>135</v>
      </c>
      <c r="E169" s="4"/>
      <c r="F169" s="4" t="s">
        <v>568</v>
      </c>
      <c r="G169" s="4" t="s">
        <v>61</v>
      </c>
      <c r="H169" s="4" t="s">
        <v>180</v>
      </c>
      <c r="I169" s="4" t="s">
        <v>569</v>
      </c>
      <c r="J169" s="4" t="s">
        <v>423</v>
      </c>
      <c r="K169" s="4" t="s">
        <v>570</v>
      </c>
      <c r="L169" s="4" t="str">
        <f>IF(A169="","",IF(OR(COUNTIF('Priority Rules'!$A$2:$A$24,A169)&gt;0,COUNTIF('Priority Rules'!$B$2:$B$8,B169)&gt;0),"P168",IF(COUNTIF('Priority Rules'!$C$2:$C$9,A169)&gt;0,"P169",IF(AND(OR(ISNUMBER(SEARCH("Varadero",C169)),ISNUMBER(SEARCH("Cayo Coco",C169)),ISNUMBER(SEARCH("Cayo Santa María",C169)),ISNUMBER(SEARCH("Cayo Santa Maria",C169)),ISNUMBER(SEARCH("Cayo Guillermo",C169)),ISNUMBER(SEARCH("Cayo Las Brujas",C169)),ISNUMBER(SEARCH("Cayo Ensenachos",C169)),ISNUMBER(SEARCH("Holguín",C169)),ISNUMBER(SEARCH("Holguin",C169)),ISNUMBER(SEARCH("Havana",C169)),ISNUMBER(SEARCH("Old Havana",C169)),ISNUMBER(SEARCH("Vedado",C169)),ISNUMBER(SEARCH("Miramar",C169))),NOT(ISNUMBER(SEARCH("historical",F169)))),"P169",IF(OR(ISNUMBER(SEARCH("historical",F169)),H169="Low",ISNUMBER(SEARCH("to verify",F169)),ISNUMBER(SEARCH("requires verification",F169))),"Backlog","P170")))))</f>
        <v>P170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 t="s">
        <v>466</v>
      </c>
      <c r="B170" s="4"/>
      <c r="C170" s="4" t="s">
        <v>465</v>
      </c>
      <c r="D170" s="4" t="s">
        <v>135</v>
      </c>
      <c r="E170" s="4"/>
      <c r="F170" s="4" t="s">
        <v>568</v>
      </c>
      <c r="G170" s="4" t="s">
        <v>61</v>
      </c>
      <c r="H170" s="4" t="s">
        <v>180</v>
      </c>
      <c r="I170" s="4" t="s">
        <v>569</v>
      </c>
      <c r="J170" s="4" t="s">
        <v>423</v>
      </c>
      <c r="K170" s="4" t="s">
        <v>570</v>
      </c>
      <c r="L170" s="4" t="str">
        <f>IF(A170="","",IF(OR(COUNTIF('Priority Rules'!$A$2:$A$24,A170)&gt;0,COUNTIF('Priority Rules'!$B$2:$B$8,B170)&gt;0),"P169",IF(COUNTIF('Priority Rules'!$C$2:$C$9,A170)&gt;0,"P170",IF(AND(OR(ISNUMBER(SEARCH("Varadero",C170)),ISNUMBER(SEARCH("Cayo Coco",C170)),ISNUMBER(SEARCH("Cayo Santa María",C170)),ISNUMBER(SEARCH("Cayo Santa Maria",C170)),ISNUMBER(SEARCH("Cayo Guillermo",C170)),ISNUMBER(SEARCH("Cayo Las Brujas",C170)),ISNUMBER(SEARCH("Cayo Ensenachos",C170)),ISNUMBER(SEARCH("Holguín",C170)),ISNUMBER(SEARCH("Holguin",C170)),ISNUMBER(SEARCH("Havana",C170)),ISNUMBER(SEARCH("Old Havana",C170)),ISNUMBER(SEARCH("Vedado",C170)),ISNUMBER(SEARCH("Miramar",C170))),NOT(ISNUMBER(SEARCH("historical",F170)))),"P170",IF(OR(ISNUMBER(SEARCH("historical",F170)),H170="Low",ISNUMBER(SEARCH("to verify",F170)),ISNUMBER(SEARCH("requires verification",F170))),"Backlog","P171")))))</f>
        <v>P171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 t="s">
        <v>467</v>
      </c>
      <c r="B171" s="4"/>
      <c r="C171" s="4" t="s">
        <v>465</v>
      </c>
      <c r="D171" s="4" t="s">
        <v>135</v>
      </c>
      <c r="E171" s="4"/>
      <c r="F171" s="4" t="s">
        <v>568</v>
      </c>
      <c r="G171" s="4" t="s">
        <v>61</v>
      </c>
      <c r="H171" s="4" t="s">
        <v>180</v>
      </c>
      <c r="I171" s="4" t="s">
        <v>569</v>
      </c>
      <c r="J171" s="4" t="s">
        <v>423</v>
      </c>
      <c r="K171" s="4" t="s">
        <v>570</v>
      </c>
      <c r="L171" s="4" t="str">
        <f>IF(A171="","",IF(OR(COUNTIF('Priority Rules'!$A$2:$A$24,A171)&gt;0,COUNTIF('Priority Rules'!$B$2:$B$8,B171)&gt;0),"P170",IF(COUNTIF('Priority Rules'!$C$2:$C$9,A171)&gt;0,"P171",IF(AND(OR(ISNUMBER(SEARCH("Varadero",C171)),ISNUMBER(SEARCH("Cayo Coco",C171)),ISNUMBER(SEARCH("Cayo Santa María",C171)),ISNUMBER(SEARCH("Cayo Santa Maria",C171)),ISNUMBER(SEARCH("Cayo Guillermo",C171)),ISNUMBER(SEARCH("Cayo Las Brujas",C171)),ISNUMBER(SEARCH("Cayo Ensenachos",C171)),ISNUMBER(SEARCH("Holguín",C171)),ISNUMBER(SEARCH("Holguin",C171)),ISNUMBER(SEARCH("Havana",C171)),ISNUMBER(SEARCH("Old Havana",C171)),ISNUMBER(SEARCH("Vedado",C171)),ISNUMBER(SEARCH("Miramar",C171))),NOT(ISNUMBER(SEARCH("historical",F171)))),"P171",IF(OR(ISNUMBER(SEARCH("historical",F171)),H171="Low",ISNUMBER(SEARCH("to verify",F171)),ISNUMBER(SEARCH("requires verification",F171))),"Backlog","P172")))))</f>
        <v>P172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">
        <v>469</v>
      </c>
      <c r="B172" s="4"/>
      <c r="C172" s="4" t="s">
        <v>465</v>
      </c>
      <c r="D172" s="4" t="s">
        <v>40</v>
      </c>
      <c r="E172" s="4"/>
      <c r="F172" s="4" t="s">
        <v>568</v>
      </c>
      <c r="G172" s="4" t="s">
        <v>61</v>
      </c>
      <c r="H172" s="4" t="s">
        <v>180</v>
      </c>
      <c r="I172" s="4" t="s">
        <v>569</v>
      </c>
      <c r="J172" s="4" t="s">
        <v>423</v>
      </c>
      <c r="K172" s="4" t="s">
        <v>570</v>
      </c>
      <c r="L172" s="4" t="str">
        <f>IF(A172="","",IF(OR(COUNTIF('Priority Rules'!$A$2:$A$24,A172)&gt;0,COUNTIF('Priority Rules'!$B$2:$B$8,B172)&gt;0),"P171",IF(COUNTIF('Priority Rules'!$C$2:$C$9,A172)&gt;0,"P172",IF(AND(OR(ISNUMBER(SEARCH("Varadero",C172)),ISNUMBER(SEARCH("Cayo Coco",C172)),ISNUMBER(SEARCH("Cayo Santa María",C172)),ISNUMBER(SEARCH("Cayo Santa Maria",C172)),ISNUMBER(SEARCH("Cayo Guillermo",C172)),ISNUMBER(SEARCH("Cayo Las Brujas",C172)),ISNUMBER(SEARCH("Cayo Ensenachos",C172)),ISNUMBER(SEARCH("Holguín",C172)),ISNUMBER(SEARCH("Holguin",C172)),ISNUMBER(SEARCH("Havana",C172)),ISNUMBER(SEARCH("Old Havana",C172)),ISNUMBER(SEARCH("Vedado",C172)),ISNUMBER(SEARCH("Miramar",C172))),NOT(ISNUMBER(SEARCH("historical",F172)))),"P172",IF(OR(ISNUMBER(SEARCH("historical",F172)),H172="Low",ISNUMBER(SEARCH("to verify",F172)),ISNUMBER(SEARCH("requires verification",F172))),"Backlog","P173")))))</f>
        <v>P173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">
        <v>472</v>
      </c>
      <c r="B173" s="4"/>
      <c r="C173" s="4" t="s">
        <v>473</v>
      </c>
      <c r="D173" s="4" t="s">
        <v>474</v>
      </c>
      <c r="E173" s="4"/>
      <c r="F173" s="4" t="s">
        <v>568</v>
      </c>
      <c r="G173" s="4" t="s">
        <v>61</v>
      </c>
      <c r="H173" s="4" t="s">
        <v>180</v>
      </c>
      <c r="I173" s="4" t="s">
        <v>569</v>
      </c>
      <c r="J173" s="4" t="s">
        <v>475</v>
      </c>
      <c r="K173" s="4" t="s">
        <v>570</v>
      </c>
      <c r="L173" s="4" t="str">
        <f>IF(A173="","",IF(OR(COUNTIF('Priority Rules'!$A$2:$A$24,A173)&gt;0,COUNTIF('Priority Rules'!$B$2:$B$8,B173)&gt;0),"P172",IF(COUNTIF('Priority Rules'!$C$2:$C$9,A173)&gt;0,"P173",IF(AND(OR(ISNUMBER(SEARCH("Varadero",C173)),ISNUMBER(SEARCH("Cayo Coco",C173)),ISNUMBER(SEARCH("Cayo Santa María",C173)),ISNUMBER(SEARCH("Cayo Santa Maria",C173)),ISNUMBER(SEARCH("Cayo Guillermo",C173)),ISNUMBER(SEARCH("Cayo Las Brujas",C173)),ISNUMBER(SEARCH("Cayo Ensenachos",C173)),ISNUMBER(SEARCH("Holguín",C173)),ISNUMBER(SEARCH("Holguin",C173)),ISNUMBER(SEARCH("Havana",C173)),ISNUMBER(SEARCH("Old Havana",C173)),ISNUMBER(SEARCH("Vedado",C173)),ISNUMBER(SEARCH("Miramar",C173))),NOT(ISNUMBER(SEARCH("historical",F173)))),"P173",IF(OR(ISNUMBER(SEARCH("historical",F173)),H173="Low",ISNUMBER(SEARCH("to verify",F173)),ISNUMBER(SEARCH("requires verification",F173))),"Backlog","P174")))))</f>
        <v>P174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 t="s">
        <v>479</v>
      </c>
      <c r="B174" s="4"/>
      <c r="C174" s="4" t="s">
        <v>473</v>
      </c>
      <c r="D174" s="4" t="s">
        <v>480</v>
      </c>
      <c r="E174" s="4"/>
      <c r="F174" s="4" t="s">
        <v>568</v>
      </c>
      <c r="G174" s="4" t="s">
        <v>61</v>
      </c>
      <c r="H174" s="4" t="s">
        <v>180</v>
      </c>
      <c r="I174" s="4" t="s">
        <v>569</v>
      </c>
      <c r="J174" s="4" t="s">
        <v>475</v>
      </c>
      <c r="K174" s="4" t="s">
        <v>570</v>
      </c>
      <c r="L174" s="4" t="str">
        <f>IF(A174="","",IF(OR(COUNTIF('Priority Rules'!$A$2:$A$24,A174)&gt;0,COUNTIF('Priority Rules'!$B$2:$B$8,B174)&gt;0),"P173",IF(COUNTIF('Priority Rules'!$C$2:$C$9,A174)&gt;0,"P174",IF(AND(OR(ISNUMBER(SEARCH("Varadero",C174)),ISNUMBER(SEARCH("Cayo Coco",C174)),ISNUMBER(SEARCH("Cayo Santa María",C174)),ISNUMBER(SEARCH("Cayo Santa Maria",C174)),ISNUMBER(SEARCH("Cayo Guillermo",C174)),ISNUMBER(SEARCH("Cayo Las Brujas",C174)),ISNUMBER(SEARCH("Cayo Ensenachos",C174)),ISNUMBER(SEARCH("Holguín",C174)),ISNUMBER(SEARCH("Holguin",C174)),ISNUMBER(SEARCH("Havana",C174)),ISNUMBER(SEARCH("Old Havana",C174)),ISNUMBER(SEARCH("Vedado",C174)),ISNUMBER(SEARCH("Miramar",C174))),NOT(ISNUMBER(SEARCH("historical",F174)))),"P174",IF(OR(ISNUMBER(SEARCH("historical",F174)),H174="Low",ISNUMBER(SEARCH("to verify",F174)),ISNUMBER(SEARCH("requires verification",F174))),"Backlog","P175")))))</f>
        <v>P175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 t="s">
        <v>482</v>
      </c>
      <c r="B175" s="4"/>
      <c r="C175" s="4" t="s">
        <v>473</v>
      </c>
      <c r="D175" s="4" t="s">
        <v>62</v>
      </c>
      <c r="E175" s="4"/>
      <c r="F175" s="4" t="s">
        <v>568</v>
      </c>
      <c r="G175" s="4" t="s">
        <v>61</v>
      </c>
      <c r="H175" s="4" t="s">
        <v>180</v>
      </c>
      <c r="I175" s="4" t="s">
        <v>569</v>
      </c>
      <c r="J175" s="4" t="s">
        <v>475</v>
      </c>
      <c r="K175" s="4" t="s">
        <v>570</v>
      </c>
      <c r="L175" s="4" t="str">
        <f>IF(A175="","",IF(OR(COUNTIF('Priority Rules'!$A$2:$A$24,A175)&gt;0,COUNTIF('Priority Rules'!$B$2:$B$8,B175)&gt;0),"P174",IF(COUNTIF('Priority Rules'!$C$2:$C$9,A175)&gt;0,"P175",IF(AND(OR(ISNUMBER(SEARCH("Varadero",C175)),ISNUMBER(SEARCH("Cayo Coco",C175)),ISNUMBER(SEARCH("Cayo Santa María",C175)),ISNUMBER(SEARCH("Cayo Santa Maria",C175)),ISNUMBER(SEARCH("Cayo Guillermo",C175)),ISNUMBER(SEARCH("Cayo Las Brujas",C175)),ISNUMBER(SEARCH("Cayo Ensenachos",C175)),ISNUMBER(SEARCH("Holguín",C175)),ISNUMBER(SEARCH("Holguin",C175)),ISNUMBER(SEARCH("Havana",C175)),ISNUMBER(SEARCH("Old Havana",C175)),ISNUMBER(SEARCH("Vedado",C175)),ISNUMBER(SEARCH("Miramar",C175))),NOT(ISNUMBER(SEARCH("historical",F175)))),"P175",IF(OR(ISNUMBER(SEARCH("historical",F175)),H175="Low",ISNUMBER(SEARCH("to verify",F175)),ISNUMBER(SEARCH("requires verification",F175))),"Backlog","P176")))))</f>
        <v>P176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 t="s">
        <v>483</v>
      </c>
      <c r="B176" s="4"/>
      <c r="C176" s="4" t="s">
        <v>473</v>
      </c>
      <c r="D176" s="4" t="s">
        <v>62</v>
      </c>
      <c r="E176" s="4"/>
      <c r="F176" s="4" t="s">
        <v>568</v>
      </c>
      <c r="G176" s="4" t="s">
        <v>61</v>
      </c>
      <c r="H176" s="4" t="s">
        <v>180</v>
      </c>
      <c r="I176" s="4" t="s">
        <v>569</v>
      </c>
      <c r="J176" s="4" t="s">
        <v>475</v>
      </c>
      <c r="K176" s="4" t="s">
        <v>570</v>
      </c>
      <c r="L176" s="4" t="str">
        <f>IF(A176="","",IF(OR(COUNTIF('Priority Rules'!$A$2:$A$24,A176)&gt;0,COUNTIF('Priority Rules'!$B$2:$B$8,B176)&gt;0),"P175",IF(COUNTIF('Priority Rules'!$C$2:$C$9,A176)&gt;0,"P176",IF(AND(OR(ISNUMBER(SEARCH("Varadero",C176)),ISNUMBER(SEARCH("Cayo Coco",C176)),ISNUMBER(SEARCH("Cayo Santa María",C176)),ISNUMBER(SEARCH("Cayo Santa Maria",C176)),ISNUMBER(SEARCH("Cayo Guillermo",C176)),ISNUMBER(SEARCH("Cayo Las Brujas",C176)),ISNUMBER(SEARCH("Cayo Ensenachos",C176)),ISNUMBER(SEARCH("Holguín",C176)),ISNUMBER(SEARCH("Holguin",C176)),ISNUMBER(SEARCH("Havana",C176)),ISNUMBER(SEARCH("Old Havana",C176)),ISNUMBER(SEARCH("Vedado",C176)),ISNUMBER(SEARCH("Miramar",C176))),NOT(ISNUMBER(SEARCH("historical",F176)))),"P176",IF(OR(ISNUMBER(SEARCH("historical",F176)),H176="Low",ISNUMBER(SEARCH("to verify",F176)),ISNUMBER(SEARCH("requires verification",F176))),"Backlog","P177")))))</f>
        <v>P177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 t="s">
        <v>485</v>
      </c>
      <c r="B177" s="4"/>
      <c r="C177" s="4" t="s">
        <v>473</v>
      </c>
      <c r="D177" s="4" t="s">
        <v>40</v>
      </c>
      <c r="E177" s="4"/>
      <c r="F177" s="4" t="s">
        <v>568</v>
      </c>
      <c r="G177" s="4" t="s">
        <v>61</v>
      </c>
      <c r="H177" s="4" t="s">
        <v>180</v>
      </c>
      <c r="I177" s="4" t="s">
        <v>569</v>
      </c>
      <c r="J177" s="4" t="s">
        <v>475</v>
      </c>
      <c r="K177" s="4" t="s">
        <v>570</v>
      </c>
      <c r="L177" s="4" t="str">
        <f>IF(A177="","",IF(OR(COUNTIF('Priority Rules'!$A$2:$A$24,A177)&gt;0,COUNTIF('Priority Rules'!$B$2:$B$8,B177)&gt;0),"P176",IF(COUNTIF('Priority Rules'!$C$2:$C$9,A177)&gt;0,"P177",IF(AND(OR(ISNUMBER(SEARCH("Varadero",C177)),ISNUMBER(SEARCH("Cayo Coco",C177)),ISNUMBER(SEARCH("Cayo Santa María",C177)),ISNUMBER(SEARCH("Cayo Santa Maria",C177)),ISNUMBER(SEARCH("Cayo Guillermo",C177)),ISNUMBER(SEARCH("Cayo Las Brujas",C177)),ISNUMBER(SEARCH("Cayo Ensenachos",C177)),ISNUMBER(SEARCH("Holguín",C177)),ISNUMBER(SEARCH("Holguin",C177)),ISNUMBER(SEARCH("Havana",C177)),ISNUMBER(SEARCH("Old Havana",C177)),ISNUMBER(SEARCH("Vedado",C177)),ISNUMBER(SEARCH("Miramar",C177))),NOT(ISNUMBER(SEARCH("historical",F177)))),"P177",IF(OR(ISNUMBER(SEARCH("historical",F177)),H177="Low",ISNUMBER(SEARCH("to verify",F177)),ISNUMBER(SEARCH("requires verification",F177))),"Backlog","P178")))))</f>
        <v>P178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 t="s">
        <v>486</v>
      </c>
      <c r="B178" s="4"/>
      <c r="C178" s="4" t="s">
        <v>473</v>
      </c>
      <c r="D178" s="4" t="s">
        <v>62</v>
      </c>
      <c r="E178" s="4"/>
      <c r="F178" s="4" t="s">
        <v>568</v>
      </c>
      <c r="G178" s="4" t="s">
        <v>61</v>
      </c>
      <c r="H178" s="4" t="s">
        <v>180</v>
      </c>
      <c r="I178" s="4" t="s">
        <v>569</v>
      </c>
      <c r="J178" s="4" t="s">
        <v>475</v>
      </c>
      <c r="K178" s="4" t="s">
        <v>570</v>
      </c>
      <c r="L178" s="4" t="str">
        <f>IF(A178="","",IF(OR(COUNTIF('Priority Rules'!$A$2:$A$24,A178)&gt;0,COUNTIF('Priority Rules'!$B$2:$B$8,B178)&gt;0),"P177",IF(COUNTIF('Priority Rules'!$C$2:$C$9,A178)&gt;0,"P178",IF(AND(OR(ISNUMBER(SEARCH("Varadero",C178)),ISNUMBER(SEARCH("Cayo Coco",C178)),ISNUMBER(SEARCH("Cayo Santa María",C178)),ISNUMBER(SEARCH("Cayo Santa Maria",C178)),ISNUMBER(SEARCH("Cayo Guillermo",C178)),ISNUMBER(SEARCH("Cayo Las Brujas",C178)),ISNUMBER(SEARCH("Cayo Ensenachos",C178)),ISNUMBER(SEARCH("Holguín",C178)),ISNUMBER(SEARCH("Holguin",C178)),ISNUMBER(SEARCH("Havana",C178)),ISNUMBER(SEARCH("Old Havana",C178)),ISNUMBER(SEARCH("Vedado",C178)),ISNUMBER(SEARCH("Miramar",C178))),NOT(ISNUMBER(SEARCH("historical",F178)))),"P178",IF(OR(ISNUMBER(SEARCH("historical",F178)),H178="Low",ISNUMBER(SEARCH("to verify",F178)),ISNUMBER(SEARCH("requires verification",F178))),"Backlog","P179")))))</f>
        <v>P179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 t="s">
        <v>487</v>
      </c>
      <c r="B179" s="4"/>
      <c r="C179" s="4" t="s">
        <v>473</v>
      </c>
      <c r="D179" s="4" t="s">
        <v>40</v>
      </c>
      <c r="E179" s="4"/>
      <c r="F179" s="4" t="s">
        <v>568</v>
      </c>
      <c r="G179" s="4" t="s">
        <v>61</v>
      </c>
      <c r="H179" s="4" t="s">
        <v>180</v>
      </c>
      <c r="I179" s="4" t="s">
        <v>569</v>
      </c>
      <c r="J179" s="4" t="s">
        <v>475</v>
      </c>
      <c r="K179" s="4" t="s">
        <v>570</v>
      </c>
      <c r="L179" s="4" t="str">
        <f>IF(A179="","",IF(OR(COUNTIF('Priority Rules'!$A$2:$A$24,A179)&gt;0,COUNTIF('Priority Rules'!$B$2:$B$8,B179)&gt;0),"P178",IF(COUNTIF('Priority Rules'!$C$2:$C$9,A179)&gt;0,"P179",IF(AND(OR(ISNUMBER(SEARCH("Varadero",C179)),ISNUMBER(SEARCH("Cayo Coco",C179)),ISNUMBER(SEARCH("Cayo Santa María",C179)),ISNUMBER(SEARCH("Cayo Santa Maria",C179)),ISNUMBER(SEARCH("Cayo Guillermo",C179)),ISNUMBER(SEARCH("Cayo Las Brujas",C179)),ISNUMBER(SEARCH("Cayo Ensenachos",C179)),ISNUMBER(SEARCH("Holguín",C179)),ISNUMBER(SEARCH("Holguin",C179)),ISNUMBER(SEARCH("Havana",C179)),ISNUMBER(SEARCH("Old Havana",C179)),ISNUMBER(SEARCH("Vedado",C179)),ISNUMBER(SEARCH("Miramar",C179))),NOT(ISNUMBER(SEARCH("historical",F179)))),"P179",IF(OR(ISNUMBER(SEARCH("historical",F179)),H179="Low",ISNUMBER(SEARCH("to verify",F179)),ISNUMBER(SEARCH("requires verification",F179))),"Backlog","P180")))))</f>
        <v>P180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 t="s">
        <v>489</v>
      </c>
      <c r="B180" s="4"/>
      <c r="C180" s="4" t="s">
        <v>473</v>
      </c>
      <c r="D180" s="4" t="s">
        <v>40</v>
      </c>
      <c r="E180" s="4"/>
      <c r="F180" s="4" t="s">
        <v>568</v>
      </c>
      <c r="G180" s="4" t="s">
        <v>61</v>
      </c>
      <c r="H180" s="4" t="s">
        <v>180</v>
      </c>
      <c r="I180" s="4" t="s">
        <v>569</v>
      </c>
      <c r="J180" s="4" t="s">
        <v>475</v>
      </c>
      <c r="K180" s="4" t="s">
        <v>570</v>
      </c>
      <c r="L180" s="4" t="str">
        <f>IF(A180="","",IF(OR(COUNTIF('Priority Rules'!$A$2:$A$24,A180)&gt;0,COUNTIF('Priority Rules'!$B$2:$B$8,B180)&gt;0),"P179",IF(COUNTIF('Priority Rules'!$C$2:$C$9,A180)&gt;0,"P180",IF(AND(OR(ISNUMBER(SEARCH("Varadero",C180)),ISNUMBER(SEARCH("Cayo Coco",C180)),ISNUMBER(SEARCH("Cayo Santa María",C180)),ISNUMBER(SEARCH("Cayo Santa Maria",C180)),ISNUMBER(SEARCH("Cayo Guillermo",C180)),ISNUMBER(SEARCH("Cayo Las Brujas",C180)),ISNUMBER(SEARCH("Cayo Ensenachos",C180)),ISNUMBER(SEARCH("Holguín",C180)),ISNUMBER(SEARCH("Holguin",C180)),ISNUMBER(SEARCH("Havana",C180)),ISNUMBER(SEARCH("Old Havana",C180)),ISNUMBER(SEARCH("Vedado",C180)),ISNUMBER(SEARCH("Miramar",C180))),NOT(ISNUMBER(SEARCH("historical",F180)))),"P180",IF(OR(ISNUMBER(SEARCH("historical",F180)),H180="Low",ISNUMBER(SEARCH("to verify",F180)),ISNUMBER(SEARCH("requires verification",F180))),"Backlog","P181")))))</f>
        <v>P181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 t="s">
        <v>490</v>
      </c>
      <c r="B181" s="4"/>
      <c r="C181" s="4" t="s">
        <v>473</v>
      </c>
      <c r="D181" s="4" t="s">
        <v>40</v>
      </c>
      <c r="E181" s="4"/>
      <c r="F181" s="4" t="s">
        <v>568</v>
      </c>
      <c r="G181" s="4" t="s">
        <v>61</v>
      </c>
      <c r="H181" s="4" t="s">
        <v>180</v>
      </c>
      <c r="I181" s="4" t="s">
        <v>569</v>
      </c>
      <c r="J181" s="4" t="s">
        <v>475</v>
      </c>
      <c r="K181" s="4" t="s">
        <v>570</v>
      </c>
      <c r="L181" s="4" t="str">
        <f>IF(A181="","",IF(OR(COUNTIF('Priority Rules'!$A$2:$A$24,A181)&gt;0,COUNTIF('Priority Rules'!$B$2:$B$8,B181)&gt;0),"P180",IF(COUNTIF('Priority Rules'!$C$2:$C$9,A181)&gt;0,"P181",IF(AND(OR(ISNUMBER(SEARCH("Varadero",C181)),ISNUMBER(SEARCH("Cayo Coco",C181)),ISNUMBER(SEARCH("Cayo Santa María",C181)),ISNUMBER(SEARCH("Cayo Santa Maria",C181)),ISNUMBER(SEARCH("Cayo Guillermo",C181)),ISNUMBER(SEARCH("Cayo Las Brujas",C181)),ISNUMBER(SEARCH("Cayo Ensenachos",C181)),ISNUMBER(SEARCH("Holguín",C181)),ISNUMBER(SEARCH("Holguin",C181)),ISNUMBER(SEARCH("Havana",C181)),ISNUMBER(SEARCH("Old Havana",C181)),ISNUMBER(SEARCH("Vedado",C181)),ISNUMBER(SEARCH("Miramar",C181))),NOT(ISNUMBER(SEARCH("historical",F181)))),"P181",IF(OR(ISNUMBER(SEARCH("historical",F181)),H181="Low",ISNUMBER(SEARCH("to verify",F181)),ISNUMBER(SEARCH("requires verification",F181))),"Backlog","P182")))))</f>
        <v>P182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 t="s">
        <v>491</v>
      </c>
      <c r="B182" s="4"/>
      <c r="C182" s="4" t="s">
        <v>473</v>
      </c>
      <c r="D182" s="4" t="s">
        <v>40</v>
      </c>
      <c r="E182" s="4"/>
      <c r="F182" s="4" t="s">
        <v>568</v>
      </c>
      <c r="G182" s="4" t="s">
        <v>61</v>
      </c>
      <c r="H182" s="4" t="s">
        <v>180</v>
      </c>
      <c r="I182" s="4" t="s">
        <v>569</v>
      </c>
      <c r="J182" s="4" t="s">
        <v>475</v>
      </c>
      <c r="K182" s="4" t="s">
        <v>570</v>
      </c>
      <c r="L182" s="4" t="str">
        <f>IF(A182="","",IF(OR(COUNTIF('Priority Rules'!$A$2:$A$24,A182)&gt;0,COUNTIF('Priority Rules'!$B$2:$B$8,B182)&gt;0),"P181",IF(COUNTIF('Priority Rules'!$C$2:$C$9,A182)&gt;0,"P182",IF(AND(OR(ISNUMBER(SEARCH("Varadero",C182)),ISNUMBER(SEARCH("Cayo Coco",C182)),ISNUMBER(SEARCH("Cayo Santa María",C182)),ISNUMBER(SEARCH("Cayo Santa Maria",C182)),ISNUMBER(SEARCH("Cayo Guillermo",C182)),ISNUMBER(SEARCH("Cayo Las Brujas",C182)),ISNUMBER(SEARCH("Cayo Ensenachos",C182)),ISNUMBER(SEARCH("Holguín",C182)),ISNUMBER(SEARCH("Holguin",C182)),ISNUMBER(SEARCH("Havana",C182)),ISNUMBER(SEARCH("Old Havana",C182)),ISNUMBER(SEARCH("Vedado",C182)),ISNUMBER(SEARCH("Miramar",C182))),NOT(ISNUMBER(SEARCH("historical",F182)))),"P182",IF(OR(ISNUMBER(SEARCH("historical",F182)),H182="Low",ISNUMBER(SEARCH("to verify",F182)),ISNUMBER(SEARCH("requires verification",F182))),"Backlog","P183")))))</f>
        <v>P183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 t="s">
        <v>493</v>
      </c>
      <c r="B183" s="4"/>
      <c r="C183" s="4" t="s">
        <v>494</v>
      </c>
      <c r="D183" s="4" t="s">
        <v>40</v>
      </c>
      <c r="E183" s="4"/>
      <c r="F183" s="4" t="s">
        <v>568</v>
      </c>
      <c r="G183" s="4" t="s">
        <v>61</v>
      </c>
      <c r="H183" s="4" t="s">
        <v>180</v>
      </c>
      <c r="I183" s="4" t="s">
        <v>569</v>
      </c>
      <c r="J183" s="4" t="s">
        <v>475</v>
      </c>
      <c r="K183" s="4" t="s">
        <v>570</v>
      </c>
      <c r="L183" s="4" t="str">
        <f>IF(A183="","",IF(OR(COUNTIF('Priority Rules'!$A$2:$A$24,A183)&gt;0,COUNTIF('Priority Rules'!$B$2:$B$8,B183)&gt;0),"P182",IF(COUNTIF('Priority Rules'!$C$2:$C$9,A183)&gt;0,"P183",IF(AND(OR(ISNUMBER(SEARCH("Varadero",C183)),ISNUMBER(SEARCH("Cayo Coco",C183)),ISNUMBER(SEARCH("Cayo Santa María",C183)),ISNUMBER(SEARCH("Cayo Santa Maria",C183)),ISNUMBER(SEARCH("Cayo Guillermo",C183)),ISNUMBER(SEARCH("Cayo Las Brujas",C183)),ISNUMBER(SEARCH("Cayo Ensenachos",C183)),ISNUMBER(SEARCH("Holguín",C183)),ISNUMBER(SEARCH("Holguin",C183)),ISNUMBER(SEARCH("Havana",C183)),ISNUMBER(SEARCH("Old Havana",C183)),ISNUMBER(SEARCH("Vedado",C183)),ISNUMBER(SEARCH("Miramar",C183))),NOT(ISNUMBER(SEARCH("historical",F183)))),"P183",IF(OR(ISNUMBER(SEARCH("historical",F183)),H183="Low",ISNUMBER(SEARCH("to verify",F183)),ISNUMBER(SEARCH("requires verification",F183))),"Backlog","P184")))))</f>
        <v>P184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 t="s">
        <v>496</v>
      </c>
      <c r="B184" s="4"/>
      <c r="C184" s="4" t="s">
        <v>494</v>
      </c>
      <c r="D184" s="4" t="s">
        <v>40</v>
      </c>
      <c r="E184" s="4"/>
      <c r="F184" s="4" t="s">
        <v>568</v>
      </c>
      <c r="G184" s="4" t="s">
        <v>61</v>
      </c>
      <c r="H184" s="4" t="s">
        <v>180</v>
      </c>
      <c r="I184" s="4" t="s">
        <v>569</v>
      </c>
      <c r="J184" s="4" t="s">
        <v>475</v>
      </c>
      <c r="K184" s="4" t="s">
        <v>570</v>
      </c>
      <c r="L184" s="4" t="str">
        <f>IF(A184="","",IF(OR(COUNTIF('Priority Rules'!$A$2:$A$24,A184)&gt;0,COUNTIF('Priority Rules'!$B$2:$B$8,B184)&gt;0),"P183",IF(COUNTIF('Priority Rules'!$C$2:$C$9,A184)&gt;0,"P184",IF(AND(OR(ISNUMBER(SEARCH("Varadero",C184)),ISNUMBER(SEARCH("Cayo Coco",C184)),ISNUMBER(SEARCH("Cayo Santa María",C184)),ISNUMBER(SEARCH("Cayo Santa Maria",C184)),ISNUMBER(SEARCH("Cayo Guillermo",C184)),ISNUMBER(SEARCH("Cayo Las Brujas",C184)),ISNUMBER(SEARCH("Cayo Ensenachos",C184)),ISNUMBER(SEARCH("Holguín",C184)),ISNUMBER(SEARCH("Holguin",C184)),ISNUMBER(SEARCH("Havana",C184)),ISNUMBER(SEARCH("Old Havana",C184)),ISNUMBER(SEARCH("Vedado",C184)),ISNUMBER(SEARCH("Miramar",C184))),NOT(ISNUMBER(SEARCH("historical",F184)))),"P184",IF(OR(ISNUMBER(SEARCH("historical",F184)),H184="Low",ISNUMBER(SEARCH("to verify",F184)),ISNUMBER(SEARCH("requires verification",F184))),"Backlog","P185")))))</f>
        <v>P185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 t="s">
        <v>498</v>
      </c>
      <c r="B185" s="4"/>
      <c r="C185" s="4" t="s">
        <v>499</v>
      </c>
      <c r="D185" s="4" t="s">
        <v>40</v>
      </c>
      <c r="E185" s="4"/>
      <c r="F185" s="4" t="s">
        <v>568</v>
      </c>
      <c r="G185" s="4" t="s">
        <v>61</v>
      </c>
      <c r="H185" s="4" t="s">
        <v>180</v>
      </c>
      <c r="I185" s="4" t="s">
        <v>569</v>
      </c>
      <c r="J185" s="4" t="s">
        <v>475</v>
      </c>
      <c r="K185" s="4" t="s">
        <v>570</v>
      </c>
      <c r="L185" s="4" t="str">
        <f>IF(A185="","",IF(OR(COUNTIF('Priority Rules'!$A$2:$A$24,A185)&gt;0,COUNTIF('Priority Rules'!$B$2:$B$8,B185)&gt;0),"P184",IF(COUNTIF('Priority Rules'!$C$2:$C$9,A185)&gt;0,"P185",IF(AND(OR(ISNUMBER(SEARCH("Varadero",C185)),ISNUMBER(SEARCH("Cayo Coco",C185)),ISNUMBER(SEARCH("Cayo Santa María",C185)),ISNUMBER(SEARCH("Cayo Santa Maria",C185)),ISNUMBER(SEARCH("Cayo Guillermo",C185)),ISNUMBER(SEARCH("Cayo Las Brujas",C185)),ISNUMBER(SEARCH("Cayo Ensenachos",C185)),ISNUMBER(SEARCH("Holguín",C185)),ISNUMBER(SEARCH("Holguin",C185)),ISNUMBER(SEARCH("Havana",C185)),ISNUMBER(SEARCH("Old Havana",C185)),ISNUMBER(SEARCH("Vedado",C185)),ISNUMBER(SEARCH("Miramar",C185))),NOT(ISNUMBER(SEARCH("historical",F185)))),"P185",IF(OR(ISNUMBER(SEARCH("historical",F185)),H185="Low",ISNUMBER(SEARCH("to verify",F185)),ISNUMBER(SEARCH("requires verification",F185))),"Backlog","P186")))))</f>
        <v>P186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">
        <v>501</v>
      </c>
      <c r="B186" s="4"/>
      <c r="C186" s="4" t="s">
        <v>499</v>
      </c>
      <c r="D186" s="4" t="s">
        <v>40</v>
      </c>
      <c r="E186" s="4"/>
      <c r="F186" s="4" t="s">
        <v>568</v>
      </c>
      <c r="G186" s="4" t="s">
        <v>61</v>
      </c>
      <c r="H186" s="4" t="s">
        <v>180</v>
      </c>
      <c r="I186" s="4" t="s">
        <v>569</v>
      </c>
      <c r="J186" s="4" t="s">
        <v>475</v>
      </c>
      <c r="K186" s="4" t="s">
        <v>570</v>
      </c>
      <c r="L186" s="4" t="str">
        <f>IF(A186="","",IF(OR(COUNTIF('Priority Rules'!$A$2:$A$24,A186)&gt;0,COUNTIF('Priority Rules'!$B$2:$B$8,B186)&gt;0),"P185",IF(COUNTIF('Priority Rules'!$C$2:$C$9,A186)&gt;0,"P186",IF(AND(OR(ISNUMBER(SEARCH("Varadero",C186)),ISNUMBER(SEARCH("Cayo Coco",C186)),ISNUMBER(SEARCH("Cayo Santa María",C186)),ISNUMBER(SEARCH("Cayo Santa Maria",C186)),ISNUMBER(SEARCH("Cayo Guillermo",C186)),ISNUMBER(SEARCH("Cayo Las Brujas",C186)),ISNUMBER(SEARCH("Cayo Ensenachos",C186)),ISNUMBER(SEARCH("Holguín",C186)),ISNUMBER(SEARCH("Holguin",C186)),ISNUMBER(SEARCH("Havana",C186)),ISNUMBER(SEARCH("Old Havana",C186)),ISNUMBER(SEARCH("Vedado",C186)),ISNUMBER(SEARCH("Miramar",C186))),NOT(ISNUMBER(SEARCH("historical",F186)))),"P186",IF(OR(ISNUMBER(SEARCH("historical",F186)),H186="Low",ISNUMBER(SEARCH("to verify",F186)),ISNUMBER(SEARCH("requires verification",F186))),"Backlog","P187")))))</f>
        <v>P187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 t="s">
        <v>503</v>
      </c>
      <c r="B187" s="4"/>
      <c r="C187" s="4" t="s">
        <v>499</v>
      </c>
      <c r="D187" s="4" t="s">
        <v>40</v>
      </c>
      <c r="E187" s="4"/>
      <c r="F187" s="4" t="s">
        <v>568</v>
      </c>
      <c r="G187" s="4" t="s">
        <v>61</v>
      </c>
      <c r="H187" s="4" t="s">
        <v>180</v>
      </c>
      <c r="I187" s="4" t="s">
        <v>569</v>
      </c>
      <c r="J187" s="4" t="s">
        <v>475</v>
      </c>
      <c r="K187" s="4" t="s">
        <v>570</v>
      </c>
      <c r="L187" s="4" t="str">
        <f>IF(A187="","",IF(OR(COUNTIF('Priority Rules'!$A$2:$A$24,A187)&gt;0,COUNTIF('Priority Rules'!$B$2:$B$8,B187)&gt;0),"P186",IF(COUNTIF('Priority Rules'!$C$2:$C$9,A187)&gt;0,"P187",IF(AND(OR(ISNUMBER(SEARCH("Varadero",C187)),ISNUMBER(SEARCH("Cayo Coco",C187)),ISNUMBER(SEARCH("Cayo Santa María",C187)),ISNUMBER(SEARCH("Cayo Santa Maria",C187)),ISNUMBER(SEARCH("Cayo Guillermo",C187)),ISNUMBER(SEARCH("Cayo Las Brujas",C187)),ISNUMBER(SEARCH("Cayo Ensenachos",C187)),ISNUMBER(SEARCH("Holguín",C187)),ISNUMBER(SEARCH("Holguin",C187)),ISNUMBER(SEARCH("Havana",C187)),ISNUMBER(SEARCH("Old Havana",C187)),ISNUMBER(SEARCH("Vedado",C187)),ISNUMBER(SEARCH("Miramar",C187))),NOT(ISNUMBER(SEARCH("historical",F187)))),"P187",IF(OR(ISNUMBER(SEARCH("historical",F187)),H187="Low",ISNUMBER(SEARCH("to verify",F187)),ISNUMBER(SEARCH("requires verification",F187))),"Backlog","P188")))))</f>
        <v>P188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 t="s">
        <v>505</v>
      </c>
      <c r="B188" s="4"/>
      <c r="C188" s="4" t="s">
        <v>499</v>
      </c>
      <c r="D188" s="4" t="s">
        <v>40</v>
      </c>
      <c r="E188" s="4"/>
      <c r="F188" s="4" t="s">
        <v>568</v>
      </c>
      <c r="G188" s="4" t="s">
        <v>61</v>
      </c>
      <c r="H188" s="4" t="s">
        <v>180</v>
      </c>
      <c r="I188" s="4" t="s">
        <v>569</v>
      </c>
      <c r="J188" s="4" t="s">
        <v>475</v>
      </c>
      <c r="K188" s="4" t="s">
        <v>570</v>
      </c>
      <c r="L188" s="4" t="str">
        <f>IF(A188="","",IF(OR(COUNTIF('Priority Rules'!$A$2:$A$24,A188)&gt;0,COUNTIF('Priority Rules'!$B$2:$B$8,B188)&gt;0),"P187",IF(COUNTIF('Priority Rules'!$C$2:$C$9,A188)&gt;0,"P188",IF(AND(OR(ISNUMBER(SEARCH("Varadero",C188)),ISNUMBER(SEARCH("Cayo Coco",C188)),ISNUMBER(SEARCH("Cayo Santa María",C188)),ISNUMBER(SEARCH("Cayo Santa Maria",C188)),ISNUMBER(SEARCH("Cayo Guillermo",C188)),ISNUMBER(SEARCH("Cayo Las Brujas",C188)),ISNUMBER(SEARCH("Cayo Ensenachos",C188)),ISNUMBER(SEARCH("Holguín",C188)),ISNUMBER(SEARCH("Holguin",C188)),ISNUMBER(SEARCH("Havana",C188)),ISNUMBER(SEARCH("Old Havana",C188)),ISNUMBER(SEARCH("Vedado",C188)),ISNUMBER(SEARCH("Miramar",C188))),NOT(ISNUMBER(SEARCH("historical",F188)))),"P188",IF(OR(ISNUMBER(SEARCH("historical",F188)),H188="Low",ISNUMBER(SEARCH("to verify",F188)),ISNUMBER(SEARCH("requires verification",F188))),"Backlog","P189")))))</f>
        <v>P189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 t="s">
        <v>506</v>
      </c>
      <c r="B189" s="4"/>
      <c r="C189" s="4" t="s">
        <v>499</v>
      </c>
      <c r="D189" s="4" t="s">
        <v>62</v>
      </c>
      <c r="E189" s="4"/>
      <c r="F189" s="4" t="s">
        <v>568</v>
      </c>
      <c r="G189" s="4" t="s">
        <v>61</v>
      </c>
      <c r="H189" s="4" t="s">
        <v>180</v>
      </c>
      <c r="I189" s="4" t="s">
        <v>569</v>
      </c>
      <c r="J189" s="4" t="s">
        <v>475</v>
      </c>
      <c r="K189" s="4" t="s">
        <v>570</v>
      </c>
      <c r="L189" s="4" t="str">
        <f>IF(A189="","",IF(OR(COUNTIF('Priority Rules'!$A$2:$A$24,A189)&gt;0,COUNTIF('Priority Rules'!$B$2:$B$8,B189)&gt;0),"P188",IF(COUNTIF('Priority Rules'!$C$2:$C$9,A189)&gt;0,"P189",IF(AND(OR(ISNUMBER(SEARCH("Varadero",C189)),ISNUMBER(SEARCH("Cayo Coco",C189)),ISNUMBER(SEARCH("Cayo Santa María",C189)),ISNUMBER(SEARCH("Cayo Santa Maria",C189)),ISNUMBER(SEARCH("Cayo Guillermo",C189)),ISNUMBER(SEARCH("Cayo Las Brujas",C189)),ISNUMBER(SEARCH("Cayo Ensenachos",C189)),ISNUMBER(SEARCH("Holguín",C189)),ISNUMBER(SEARCH("Holguin",C189)),ISNUMBER(SEARCH("Havana",C189)),ISNUMBER(SEARCH("Old Havana",C189)),ISNUMBER(SEARCH("Vedado",C189)),ISNUMBER(SEARCH("Miramar",C189))),NOT(ISNUMBER(SEARCH("historical",F189)))),"P189",IF(OR(ISNUMBER(SEARCH("historical",F189)),H189="Low",ISNUMBER(SEARCH("to verify",F189)),ISNUMBER(SEARCH("requires verification",F189))),"Backlog","P190")))))</f>
        <v>P190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 t="s">
        <v>507</v>
      </c>
      <c r="B190" s="4"/>
      <c r="C190" s="4" t="s">
        <v>508</v>
      </c>
      <c r="D190" s="4" t="s">
        <v>62</v>
      </c>
      <c r="E190" s="4"/>
      <c r="F190" s="4" t="s">
        <v>568</v>
      </c>
      <c r="G190" s="4" t="s">
        <v>61</v>
      </c>
      <c r="H190" s="4" t="s">
        <v>180</v>
      </c>
      <c r="I190" s="4" t="s">
        <v>569</v>
      </c>
      <c r="J190" s="4" t="s">
        <v>509</v>
      </c>
      <c r="K190" s="4" t="s">
        <v>570</v>
      </c>
      <c r="L190" s="4" t="str">
        <f>IF(A190="","",IF(OR(COUNTIF('Priority Rules'!$A$2:$A$24,A190)&gt;0,COUNTIF('Priority Rules'!$B$2:$B$8,B190)&gt;0),"P189",IF(COUNTIF('Priority Rules'!$C$2:$C$9,A190)&gt;0,"P190",IF(AND(OR(ISNUMBER(SEARCH("Varadero",C190)),ISNUMBER(SEARCH("Cayo Coco",C190)),ISNUMBER(SEARCH("Cayo Santa María",C190)),ISNUMBER(SEARCH("Cayo Santa Maria",C190)),ISNUMBER(SEARCH("Cayo Guillermo",C190)),ISNUMBER(SEARCH("Cayo Las Brujas",C190)),ISNUMBER(SEARCH("Cayo Ensenachos",C190)),ISNUMBER(SEARCH("Holguín",C190)),ISNUMBER(SEARCH("Holguin",C190)),ISNUMBER(SEARCH("Havana",C190)),ISNUMBER(SEARCH("Old Havana",C190)),ISNUMBER(SEARCH("Vedado",C190)),ISNUMBER(SEARCH("Miramar",C190))),NOT(ISNUMBER(SEARCH("historical",F190)))),"P190",IF(OR(ISNUMBER(SEARCH("historical",F190)),H190="Low",ISNUMBER(SEARCH("to verify",F190)),ISNUMBER(SEARCH("requires verification",F190))),"Backlog","P191")))))</f>
        <v>P191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 t="s">
        <v>510</v>
      </c>
      <c r="B191" s="4"/>
      <c r="C191" s="4" t="s">
        <v>508</v>
      </c>
      <c r="D191" s="4" t="s">
        <v>406</v>
      </c>
      <c r="E191" s="4"/>
      <c r="F191" s="4" t="s">
        <v>568</v>
      </c>
      <c r="G191" s="4" t="s">
        <v>61</v>
      </c>
      <c r="H191" s="4" t="s">
        <v>180</v>
      </c>
      <c r="I191" s="4" t="s">
        <v>569</v>
      </c>
      <c r="J191" s="4" t="s">
        <v>509</v>
      </c>
      <c r="K191" s="4" t="s">
        <v>570</v>
      </c>
      <c r="L191" s="4" t="str">
        <f>IF(A191="","",IF(OR(COUNTIF('Priority Rules'!$A$2:$A$24,A191)&gt;0,COUNTIF('Priority Rules'!$B$2:$B$8,B191)&gt;0),"P190",IF(COUNTIF('Priority Rules'!$C$2:$C$9,A191)&gt;0,"P191",IF(AND(OR(ISNUMBER(SEARCH("Varadero",C191)),ISNUMBER(SEARCH("Cayo Coco",C191)),ISNUMBER(SEARCH("Cayo Santa María",C191)),ISNUMBER(SEARCH("Cayo Santa Maria",C191)),ISNUMBER(SEARCH("Cayo Guillermo",C191)),ISNUMBER(SEARCH("Cayo Las Brujas",C191)),ISNUMBER(SEARCH("Cayo Ensenachos",C191)),ISNUMBER(SEARCH("Holguín",C191)),ISNUMBER(SEARCH("Holguin",C191)),ISNUMBER(SEARCH("Havana",C191)),ISNUMBER(SEARCH("Old Havana",C191)),ISNUMBER(SEARCH("Vedado",C191)),ISNUMBER(SEARCH("Miramar",C191))),NOT(ISNUMBER(SEARCH("historical",F191)))),"P191",IF(OR(ISNUMBER(SEARCH("historical",F191)),H191="Low",ISNUMBER(SEARCH("to verify",F191)),ISNUMBER(SEARCH("requires verification",F191))),"Backlog","P192")))))</f>
        <v>P192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">
        <v>145</v>
      </c>
      <c r="B192" s="4"/>
      <c r="C192" s="4" t="s">
        <v>511</v>
      </c>
      <c r="D192" s="4" t="s">
        <v>40</v>
      </c>
      <c r="E192" s="4"/>
      <c r="F192" s="4" t="s">
        <v>568</v>
      </c>
      <c r="G192" s="4" t="s">
        <v>61</v>
      </c>
      <c r="H192" s="4" t="s">
        <v>180</v>
      </c>
      <c r="I192" s="4" t="s">
        <v>569</v>
      </c>
      <c r="J192" s="4"/>
      <c r="K192" s="4" t="s">
        <v>570</v>
      </c>
      <c r="L192" s="4" t="str">
        <f>IF(A192="","",IF(OR(COUNTIF('Priority Rules'!$A$2:$A$24,A192)&gt;0,COUNTIF('Priority Rules'!$B$2:$B$8,B192)&gt;0),"P191",IF(COUNTIF('Priority Rules'!$C$2:$C$9,A192)&gt;0,"P192",IF(AND(OR(ISNUMBER(SEARCH("Varadero",C192)),ISNUMBER(SEARCH("Cayo Coco",C192)),ISNUMBER(SEARCH("Cayo Santa María",C192)),ISNUMBER(SEARCH("Cayo Santa Maria",C192)),ISNUMBER(SEARCH("Cayo Guillermo",C192)),ISNUMBER(SEARCH("Cayo Las Brujas",C192)),ISNUMBER(SEARCH("Cayo Ensenachos",C192)),ISNUMBER(SEARCH("Holguín",C192)),ISNUMBER(SEARCH("Holguin",C192)),ISNUMBER(SEARCH("Havana",C192)),ISNUMBER(SEARCH("Old Havana",C192)),ISNUMBER(SEARCH("Vedado",C192)),ISNUMBER(SEARCH("Miramar",C192))),NOT(ISNUMBER(SEARCH("historical",F192)))),"P192",IF(OR(ISNUMBER(SEARCH("historical",F192)),H192="Low",ISNUMBER(SEARCH("to verify",F192)),ISNUMBER(SEARCH("requires verification",F192))),"Backlog","P193")))))</f>
        <v>P193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 t="s">
        <v>512</v>
      </c>
      <c r="B193" s="4"/>
      <c r="C193" s="4" t="s">
        <v>513</v>
      </c>
      <c r="D193" s="4" t="s">
        <v>135</v>
      </c>
      <c r="E193" s="4"/>
      <c r="F193" s="4" t="s">
        <v>568</v>
      </c>
      <c r="G193" s="4" t="s">
        <v>61</v>
      </c>
      <c r="H193" s="4" t="s">
        <v>180</v>
      </c>
      <c r="I193" s="4" t="s">
        <v>569</v>
      </c>
      <c r="J193" s="4" t="s">
        <v>514</v>
      </c>
      <c r="K193" s="4" t="s">
        <v>570</v>
      </c>
      <c r="L193" s="4" t="str">
        <f>IF(A193="","",IF(OR(COUNTIF('Priority Rules'!$A$2:$A$24,A193)&gt;0,COUNTIF('Priority Rules'!$B$2:$B$8,B193)&gt;0),"P192",IF(COUNTIF('Priority Rules'!$C$2:$C$9,A193)&gt;0,"P193",IF(AND(OR(ISNUMBER(SEARCH("Varadero",C193)),ISNUMBER(SEARCH("Cayo Coco",C193)),ISNUMBER(SEARCH("Cayo Santa María",C193)),ISNUMBER(SEARCH("Cayo Santa Maria",C193)),ISNUMBER(SEARCH("Cayo Guillermo",C193)),ISNUMBER(SEARCH("Cayo Las Brujas",C193)),ISNUMBER(SEARCH("Cayo Ensenachos",C193)),ISNUMBER(SEARCH("Holguín",C193)),ISNUMBER(SEARCH("Holguin",C193)),ISNUMBER(SEARCH("Havana",C193)),ISNUMBER(SEARCH("Old Havana",C193)),ISNUMBER(SEARCH("Vedado",C193)),ISNUMBER(SEARCH("Miramar",C193))),NOT(ISNUMBER(SEARCH("historical",F193)))),"P193",IF(OR(ISNUMBER(SEARCH("historical",F193)),H193="Low",ISNUMBER(SEARCH("to verify",F193)),ISNUMBER(SEARCH("requires verification",F193))),"Backlog","P194")))))</f>
        <v>P194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 t="s">
        <v>516</v>
      </c>
      <c r="B194" s="4"/>
      <c r="C194" s="4" t="s">
        <v>517</v>
      </c>
      <c r="D194" s="4" t="s">
        <v>151</v>
      </c>
      <c r="E194" s="4"/>
      <c r="F194" s="4" t="s">
        <v>568</v>
      </c>
      <c r="G194" s="4" t="s">
        <v>61</v>
      </c>
      <c r="H194" s="4" t="s">
        <v>180</v>
      </c>
      <c r="I194" s="4" t="s">
        <v>569</v>
      </c>
      <c r="J194" s="4" t="s">
        <v>518</v>
      </c>
      <c r="K194" s="4" t="s">
        <v>570</v>
      </c>
      <c r="L194" s="4" t="str">
        <f>IF(A194="","",IF(OR(COUNTIF('Priority Rules'!$A$2:$A$24,A194)&gt;0,COUNTIF('Priority Rules'!$B$2:$B$8,B194)&gt;0),"P193",IF(COUNTIF('Priority Rules'!$C$2:$C$9,A194)&gt;0,"P194",IF(AND(OR(ISNUMBER(SEARCH("Varadero",C194)),ISNUMBER(SEARCH("Cayo Coco",C194)),ISNUMBER(SEARCH("Cayo Santa María",C194)),ISNUMBER(SEARCH("Cayo Santa Maria",C194)),ISNUMBER(SEARCH("Cayo Guillermo",C194)),ISNUMBER(SEARCH("Cayo Las Brujas",C194)),ISNUMBER(SEARCH("Cayo Ensenachos",C194)),ISNUMBER(SEARCH("Holguín",C194)),ISNUMBER(SEARCH("Holguin",C194)),ISNUMBER(SEARCH("Havana",C194)),ISNUMBER(SEARCH("Old Havana",C194)),ISNUMBER(SEARCH("Vedado",C194)),ISNUMBER(SEARCH("Miramar",C194))),NOT(ISNUMBER(SEARCH("historical",F194)))),"P194",IF(OR(ISNUMBER(SEARCH("historical",F194)),H194="Low",ISNUMBER(SEARCH("to verify",F194)),ISNUMBER(SEARCH("requires verification",F194))),"Backlog","P195")))))</f>
        <v>P195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 t="str">
        <f>IF(A195="","",IF(OR(COUNTIF('Priority Rules'!$A$2:$A$24,A195)&gt;0,COUNTIF('Priority Rules'!$B$2:$B$8,B195)&gt;0),"P194",IF(COUNTIF('Priority Rules'!$C$2:$C$9,A195)&gt;0,"P195",IF(AND(OR(ISNUMBER(SEARCH("Varadero",C195)),ISNUMBER(SEARCH("Cayo Coco",C195)),ISNUMBER(SEARCH("Cayo Santa María",C195)),ISNUMBER(SEARCH("Cayo Santa Maria",C195)),ISNUMBER(SEARCH("Cayo Guillermo",C195)),ISNUMBER(SEARCH("Cayo Las Brujas",C195)),ISNUMBER(SEARCH("Cayo Ensenachos",C195)),ISNUMBER(SEARCH("Holguín",C195)),ISNUMBER(SEARCH("Holguin",C195)),ISNUMBER(SEARCH("Havana",C195)),ISNUMBER(SEARCH("Old Havana",C195)),ISNUMBER(SEARCH("Vedado",C195)),ISNUMBER(SEARCH("Miramar",C195))),NOT(ISNUMBER(SEARCH("historical",F195)))),"P195",IF(OR(ISNUMBER(SEARCH("historical",F195)),H195="Low",ISNUMBER(SEARCH("to verify",F195)),ISNUMBER(SEARCH("requires verification",F195))),"Backlog","P196")))))</f>
        <v/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 t="str">
        <f>IF(A196="","",IF(OR(COUNTIF('Priority Rules'!$A$2:$A$24,A196)&gt;0,COUNTIF('Priority Rules'!$B$2:$B$8,B196)&gt;0),"P195",IF(COUNTIF('Priority Rules'!$C$2:$C$9,A196)&gt;0,"P196",IF(AND(OR(ISNUMBER(SEARCH("Varadero",C196)),ISNUMBER(SEARCH("Cayo Coco",C196)),ISNUMBER(SEARCH("Cayo Santa María",C196)),ISNUMBER(SEARCH("Cayo Santa Maria",C196)),ISNUMBER(SEARCH("Cayo Guillermo",C196)),ISNUMBER(SEARCH("Cayo Las Brujas",C196)),ISNUMBER(SEARCH("Cayo Ensenachos",C196)),ISNUMBER(SEARCH("Holguín",C196)),ISNUMBER(SEARCH("Holguin",C196)),ISNUMBER(SEARCH("Havana",C196)),ISNUMBER(SEARCH("Old Havana",C196)),ISNUMBER(SEARCH("Vedado",C196)),ISNUMBER(SEARCH("Miramar",C196))),NOT(ISNUMBER(SEARCH("historical",F196)))),"P196",IF(OR(ISNUMBER(SEARCH("historical",F196)),H196="Low",ISNUMBER(SEARCH("to verify",F196)),ISNUMBER(SEARCH("requires verification",F196))),"Backlog","P197")))))</f>
        <v/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 t="str">
        <f>IF(A197="","",IF(OR(COUNTIF('Priority Rules'!$A$2:$A$24,A197)&gt;0,COUNTIF('Priority Rules'!$B$2:$B$8,B197)&gt;0),"P196",IF(COUNTIF('Priority Rules'!$C$2:$C$9,A197)&gt;0,"P197",IF(AND(OR(ISNUMBER(SEARCH("Varadero",C197)),ISNUMBER(SEARCH("Cayo Coco",C197)),ISNUMBER(SEARCH("Cayo Santa María",C197)),ISNUMBER(SEARCH("Cayo Santa Maria",C197)),ISNUMBER(SEARCH("Cayo Guillermo",C197)),ISNUMBER(SEARCH("Cayo Las Brujas",C197)),ISNUMBER(SEARCH("Cayo Ensenachos",C197)),ISNUMBER(SEARCH("Holguín",C197)),ISNUMBER(SEARCH("Holguin",C197)),ISNUMBER(SEARCH("Havana",C197)),ISNUMBER(SEARCH("Old Havana",C197)),ISNUMBER(SEARCH("Vedado",C197)),ISNUMBER(SEARCH("Miramar",C197))),NOT(ISNUMBER(SEARCH("historical",F197)))),"P197",IF(OR(ISNUMBER(SEARCH("historical",F197)),H197="Low",ISNUMBER(SEARCH("to verify",F197)),ISNUMBER(SEARCH("requires verification",F197))),"Backlog","P198")))))</f>
        <v/>
      </c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 t="str">
        <f>IF(A198="","",IF(OR(COUNTIF('Priority Rules'!$A$2:$A$24,A198)&gt;0,COUNTIF('Priority Rules'!$B$2:$B$8,B198)&gt;0),"P197",IF(COUNTIF('Priority Rules'!$C$2:$C$9,A198)&gt;0,"P198",IF(AND(OR(ISNUMBER(SEARCH("Varadero",C198)),ISNUMBER(SEARCH("Cayo Coco",C198)),ISNUMBER(SEARCH("Cayo Santa María",C198)),ISNUMBER(SEARCH("Cayo Santa Maria",C198)),ISNUMBER(SEARCH("Cayo Guillermo",C198)),ISNUMBER(SEARCH("Cayo Las Brujas",C198)),ISNUMBER(SEARCH("Cayo Ensenachos",C198)),ISNUMBER(SEARCH("Holguín",C198)),ISNUMBER(SEARCH("Holguin",C198)),ISNUMBER(SEARCH("Havana",C198)),ISNUMBER(SEARCH("Old Havana",C198)),ISNUMBER(SEARCH("Vedado",C198)),ISNUMBER(SEARCH("Miramar",C198))),NOT(ISNUMBER(SEARCH("historical",F198)))),"P198",IF(OR(ISNUMBER(SEARCH("historical",F198)),H198="Low",ISNUMBER(SEARCH("to verify",F198)),ISNUMBER(SEARCH("requires verification",F198))),"Backlog","P199")))))</f>
        <v/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 t="str">
        <f>IF(A199="","",IF(OR(COUNTIF('Priority Rules'!$A$2:$A$24,A199)&gt;0,COUNTIF('Priority Rules'!$B$2:$B$8,B199)&gt;0),"P198",IF(COUNTIF('Priority Rules'!$C$2:$C$9,A199)&gt;0,"P199",IF(AND(OR(ISNUMBER(SEARCH("Varadero",C199)),ISNUMBER(SEARCH("Cayo Coco",C199)),ISNUMBER(SEARCH("Cayo Santa María",C199)),ISNUMBER(SEARCH("Cayo Santa Maria",C199)),ISNUMBER(SEARCH("Cayo Guillermo",C199)),ISNUMBER(SEARCH("Cayo Las Brujas",C199)),ISNUMBER(SEARCH("Cayo Ensenachos",C199)),ISNUMBER(SEARCH("Holguín",C199)),ISNUMBER(SEARCH("Holguin",C199)),ISNUMBER(SEARCH("Havana",C199)),ISNUMBER(SEARCH("Old Havana",C199)),ISNUMBER(SEARCH("Vedado",C199)),ISNUMBER(SEARCH("Miramar",C199))),NOT(ISNUMBER(SEARCH("historical",F199)))),"P199",IF(OR(ISNUMBER(SEARCH("historical",F199)),H199="Low",ISNUMBER(SEARCH("to verify",F199)),ISNUMBER(SEARCH("requires verification",F199))),"Backlog","P200")))))</f>
        <v/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 t="str">
        <f>IF(A200="","",IF(OR(COUNTIF('Priority Rules'!$A$2:$A$24,A200)&gt;0,COUNTIF('Priority Rules'!$B$2:$B$8,B200)&gt;0),"P199",IF(COUNTIF('Priority Rules'!$C$2:$C$9,A200)&gt;0,"P200",IF(AND(OR(ISNUMBER(SEARCH("Varadero",C200)),ISNUMBER(SEARCH("Cayo Coco",C200)),ISNUMBER(SEARCH("Cayo Santa María",C200)),ISNUMBER(SEARCH("Cayo Santa Maria",C200)),ISNUMBER(SEARCH("Cayo Guillermo",C200)),ISNUMBER(SEARCH("Cayo Las Brujas",C200)),ISNUMBER(SEARCH("Cayo Ensenachos",C200)),ISNUMBER(SEARCH("Holguín",C200)),ISNUMBER(SEARCH("Holguin",C200)),ISNUMBER(SEARCH("Havana",C200)),ISNUMBER(SEARCH("Old Havana",C200)),ISNUMBER(SEARCH("Vedado",C200)),ISNUMBER(SEARCH("Miramar",C200))),NOT(ISNUMBER(SEARCH("historical",F200)))),"P200",IF(OR(ISNUMBER(SEARCH("historical",F200)),H200="Low",ISNUMBER(SEARCH("to verify",F200)),ISNUMBER(SEARCH("requires verification",F200))),"Backlog","P201")))))</f>
        <v/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H201" s="13"/>
      <c r="L201" s="13" t="str">
        <f>IF(A201="","",IF(OR(COUNTIF('Priority Rules'!$A$2:$A$24,A201)&gt;0,COUNTIF('Priority Rules'!$B$2:$B$8,B201)&gt;0),"P200",IF(COUNTIF('Priority Rules'!$C$2:$C$9,A201)&gt;0,"P201",IF(AND(OR(ISNUMBER(SEARCH("Varadero",C201)),ISNUMBER(SEARCH("Cayo Coco",C201)),ISNUMBER(SEARCH("Cayo Santa María",C201)),ISNUMBER(SEARCH("Cayo Santa Maria",C201)),ISNUMBER(SEARCH("Cayo Guillermo",C201)),ISNUMBER(SEARCH("Cayo Las Brujas",C201)),ISNUMBER(SEARCH("Cayo Ensenachos",C201)),ISNUMBER(SEARCH("Holguín",C201)),ISNUMBER(SEARCH("Holguin",C201)),ISNUMBER(SEARCH("Havana",C201)),ISNUMBER(SEARCH("Old Havana",C201)),ISNUMBER(SEARCH("Vedado",C201)),ISNUMBER(SEARCH("Miramar",C201))),NOT(ISNUMBER(SEARCH("historical",F201)))),"P201",IF(OR(ISNUMBER(SEARCH("historical",F201)),H201="Low",ISNUMBER(SEARCH("to verify",F201)),ISNUMBER(SEARCH("requires verification",F201))),"Backlog","P202")))))</f>
        <v/>
      </c>
    </row>
    <row r="202" ht="15.75" customHeight="1">
      <c r="H202" s="13"/>
      <c r="L202" s="13" t="str">
        <f>IF(A202="","",IF(OR(COUNTIF('Priority Rules'!$A$2:$A$24,A202)&gt;0,COUNTIF('Priority Rules'!$B$2:$B$8,B202)&gt;0),"P201",IF(COUNTIF('Priority Rules'!$C$2:$C$9,A202)&gt;0,"P202",IF(AND(OR(ISNUMBER(SEARCH("Varadero",C202)),ISNUMBER(SEARCH("Cayo Coco",C202)),ISNUMBER(SEARCH("Cayo Santa María",C202)),ISNUMBER(SEARCH("Cayo Santa Maria",C202)),ISNUMBER(SEARCH("Cayo Guillermo",C202)),ISNUMBER(SEARCH("Cayo Las Brujas",C202)),ISNUMBER(SEARCH("Cayo Ensenachos",C202)),ISNUMBER(SEARCH("Holguín",C202)),ISNUMBER(SEARCH("Holguin",C202)),ISNUMBER(SEARCH("Havana",C202)),ISNUMBER(SEARCH("Old Havana",C202)),ISNUMBER(SEARCH("Vedado",C202)),ISNUMBER(SEARCH("Miramar",C202))),NOT(ISNUMBER(SEARCH("historical",F202)))),"P202",IF(OR(ISNUMBER(SEARCH("historical",F202)),H202="Low",ISNUMBER(SEARCH("to verify",F202)),ISNUMBER(SEARCH("requires verification",F202))),"Backlog","P203")))))</f>
        <v/>
      </c>
    </row>
    <row r="203" ht="15.75" customHeight="1">
      <c r="H203" s="13"/>
      <c r="L203" s="13" t="str">
        <f>IF(A203="","",IF(OR(COUNTIF('Priority Rules'!$A$2:$A$24,A203)&gt;0,COUNTIF('Priority Rules'!$B$2:$B$8,B203)&gt;0),"P202",IF(COUNTIF('Priority Rules'!$C$2:$C$9,A203)&gt;0,"P203",IF(AND(OR(ISNUMBER(SEARCH("Varadero",C203)),ISNUMBER(SEARCH("Cayo Coco",C203)),ISNUMBER(SEARCH("Cayo Santa María",C203)),ISNUMBER(SEARCH("Cayo Santa Maria",C203)),ISNUMBER(SEARCH("Cayo Guillermo",C203)),ISNUMBER(SEARCH("Cayo Las Brujas",C203)),ISNUMBER(SEARCH("Cayo Ensenachos",C203)),ISNUMBER(SEARCH("Holguín",C203)),ISNUMBER(SEARCH("Holguin",C203)),ISNUMBER(SEARCH("Havana",C203)),ISNUMBER(SEARCH("Old Havana",C203)),ISNUMBER(SEARCH("Vedado",C203)),ISNUMBER(SEARCH("Miramar",C203))),NOT(ISNUMBER(SEARCH("historical",F203)))),"P203",IF(OR(ISNUMBER(SEARCH("historical",F203)),H203="Low",ISNUMBER(SEARCH("to verify",F203)),ISNUMBER(SEARCH("requires verification",F203))),"Backlog","P204")))))</f>
        <v/>
      </c>
    </row>
    <row r="204" ht="15.75" customHeight="1">
      <c r="H204" s="13"/>
      <c r="L204" s="13" t="str">
        <f>IF(A204="","",IF(OR(COUNTIF('Priority Rules'!$A$2:$A$24,A204)&gt;0,COUNTIF('Priority Rules'!$B$2:$B$8,B204)&gt;0),"P203",IF(COUNTIF('Priority Rules'!$C$2:$C$9,A204)&gt;0,"P204",IF(AND(OR(ISNUMBER(SEARCH("Varadero",C204)),ISNUMBER(SEARCH("Cayo Coco",C204)),ISNUMBER(SEARCH("Cayo Santa María",C204)),ISNUMBER(SEARCH("Cayo Santa Maria",C204)),ISNUMBER(SEARCH("Cayo Guillermo",C204)),ISNUMBER(SEARCH("Cayo Las Brujas",C204)),ISNUMBER(SEARCH("Cayo Ensenachos",C204)),ISNUMBER(SEARCH("Holguín",C204)),ISNUMBER(SEARCH("Holguin",C204)),ISNUMBER(SEARCH("Havana",C204)),ISNUMBER(SEARCH("Old Havana",C204)),ISNUMBER(SEARCH("Vedado",C204)),ISNUMBER(SEARCH("Miramar",C204))),NOT(ISNUMBER(SEARCH("historical",F204)))),"P204",IF(OR(ISNUMBER(SEARCH("historical",F204)),H204="Low",ISNUMBER(SEARCH("to verify",F204)),ISNUMBER(SEARCH("requires verification",F204))),"Backlog","P205")))))</f>
        <v/>
      </c>
    </row>
    <row r="205" ht="15.75" customHeight="1">
      <c r="H205" s="13"/>
      <c r="L205" s="13" t="str">
        <f>IF(A205="","",IF(OR(COUNTIF('Priority Rules'!$A$2:$A$24,A205)&gt;0,COUNTIF('Priority Rules'!$B$2:$B$8,B205)&gt;0),"P204",IF(COUNTIF('Priority Rules'!$C$2:$C$9,A205)&gt;0,"P205",IF(AND(OR(ISNUMBER(SEARCH("Varadero",C205)),ISNUMBER(SEARCH("Cayo Coco",C205)),ISNUMBER(SEARCH("Cayo Santa María",C205)),ISNUMBER(SEARCH("Cayo Santa Maria",C205)),ISNUMBER(SEARCH("Cayo Guillermo",C205)),ISNUMBER(SEARCH("Cayo Las Brujas",C205)),ISNUMBER(SEARCH("Cayo Ensenachos",C205)),ISNUMBER(SEARCH("Holguín",C205)),ISNUMBER(SEARCH("Holguin",C205)),ISNUMBER(SEARCH("Havana",C205)),ISNUMBER(SEARCH("Old Havana",C205)),ISNUMBER(SEARCH("Vedado",C205)),ISNUMBER(SEARCH("Miramar",C205))),NOT(ISNUMBER(SEARCH("historical",F205)))),"P205",IF(OR(ISNUMBER(SEARCH("historical",F205)),H205="Low",ISNUMBER(SEARCH("to verify",F205)),ISNUMBER(SEARCH("requires verification",F205))),"Backlog","P206")))))</f>
        <v/>
      </c>
    </row>
    <row r="206" ht="15.75" customHeight="1">
      <c r="H206" s="13"/>
      <c r="L206" s="13" t="str">
        <f>IF(A206="","",IF(OR(COUNTIF('Priority Rules'!$A$2:$A$24,A206)&gt;0,COUNTIF('Priority Rules'!$B$2:$B$8,B206)&gt;0),"P205",IF(COUNTIF('Priority Rules'!$C$2:$C$9,A206)&gt;0,"P206",IF(AND(OR(ISNUMBER(SEARCH("Varadero",C206)),ISNUMBER(SEARCH("Cayo Coco",C206)),ISNUMBER(SEARCH("Cayo Santa María",C206)),ISNUMBER(SEARCH("Cayo Santa Maria",C206)),ISNUMBER(SEARCH("Cayo Guillermo",C206)),ISNUMBER(SEARCH("Cayo Las Brujas",C206)),ISNUMBER(SEARCH("Cayo Ensenachos",C206)),ISNUMBER(SEARCH("Holguín",C206)),ISNUMBER(SEARCH("Holguin",C206)),ISNUMBER(SEARCH("Havana",C206)),ISNUMBER(SEARCH("Old Havana",C206)),ISNUMBER(SEARCH("Vedado",C206)),ISNUMBER(SEARCH("Miramar",C206))),NOT(ISNUMBER(SEARCH("historical",F206)))),"P206",IF(OR(ISNUMBER(SEARCH("historical",F206)),H206="Low",ISNUMBER(SEARCH("to verify",F206)),ISNUMBER(SEARCH("requires verification",F206))),"Backlog","P207")))))</f>
        <v/>
      </c>
    </row>
    <row r="207" ht="15.75" customHeight="1">
      <c r="H207" s="13"/>
      <c r="L207" s="13" t="str">
        <f>IF(A207="","",IF(OR(COUNTIF('Priority Rules'!$A$2:$A$24,A207)&gt;0,COUNTIF('Priority Rules'!$B$2:$B$8,B207)&gt;0),"P206",IF(COUNTIF('Priority Rules'!$C$2:$C$9,A207)&gt;0,"P207",IF(AND(OR(ISNUMBER(SEARCH("Varadero",C207)),ISNUMBER(SEARCH("Cayo Coco",C207)),ISNUMBER(SEARCH("Cayo Santa María",C207)),ISNUMBER(SEARCH("Cayo Santa Maria",C207)),ISNUMBER(SEARCH("Cayo Guillermo",C207)),ISNUMBER(SEARCH("Cayo Las Brujas",C207)),ISNUMBER(SEARCH("Cayo Ensenachos",C207)),ISNUMBER(SEARCH("Holguín",C207)),ISNUMBER(SEARCH("Holguin",C207)),ISNUMBER(SEARCH("Havana",C207)),ISNUMBER(SEARCH("Old Havana",C207)),ISNUMBER(SEARCH("Vedado",C207)),ISNUMBER(SEARCH("Miramar",C207))),NOT(ISNUMBER(SEARCH("historical",F207)))),"P207",IF(OR(ISNUMBER(SEARCH("historical",F207)),H207="Low",ISNUMBER(SEARCH("to verify",F207)),ISNUMBER(SEARCH("requires verification",F207))),"Backlog","P208")))))</f>
        <v/>
      </c>
    </row>
    <row r="208" ht="15.75" customHeight="1">
      <c r="H208" s="13"/>
      <c r="L208" s="13" t="str">
        <f>IF(A208="","",IF(OR(COUNTIF('Priority Rules'!$A$2:$A$24,A208)&gt;0,COUNTIF('Priority Rules'!$B$2:$B$8,B208)&gt;0),"P207",IF(COUNTIF('Priority Rules'!$C$2:$C$9,A208)&gt;0,"P208",IF(AND(OR(ISNUMBER(SEARCH("Varadero",C208)),ISNUMBER(SEARCH("Cayo Coco",C208)),ISNUMBER(SEARCH("Cayo Santa María",C208)),ISNUMBER(SEARCH("Cayo Santa Maria",C208)),ISNUMBER(SEARCH("Cayo Guillermo",C208)),ISNUMBER(SEARCH("Cayo Las Brujas",C208)),ISNUMBER(SEARCH("Cayo Ensenachos",C208)),ISNUMBER(SEARCH("Holguín",C208)),ISNUMBER(SEARCH("Holguin",C208)),ISNUMBER(SEARCH("Havana",C208)),ISNUMBER(SEARCH("Old Havana",C208)),ISNUMBER(SEARCH("Vedado",C208)),ISNUMBER(SEARCH("Miramar",C208))),NOT(ISNUMBER(SEARCH("historical",F208)))),"P208",IF(OR(ISNUMBER(SEARCH("historical",F208)),H208="Low",ISNUMBER(SEARCH("to verify",F208)),ISNUMBER(SEARCH("requires verification",F208))),"Backlog","P209")))))</f>
        <v/>
      </c>
    </row>
    <row r="209" ht="15.75" customHeight="1">
      <c r="H209" s="13"/>
      <c r="L209" s="13" t="str">
        <f>IF(A209="","",IF(OR(COUNTIF('Priority Rules'!$A$2:$A$24,A209)&gt;0,COUNTIF('Priority Rules'!$B$2:$B$8,B209)&gt;0),"P208",IF(COUNTIF('Priority Rules'!$C$2:$C$9,A209)&gt;0,"P209",IF(AND(OR(ISNUMBER(SEARCH("Varadero",C209)),ISNUMBER(SEARCH("Cayo Coco",C209)),ISNUMBER(SEARCH("Cayo Santa María",C209)),ISNUMBER(SEARCH("Cayo Santa Maria",C209)),ISNUMBER(SEARCH("Cayo Guillermo",C209)),ISNUMBER(SEARCH("Cayo Las Brujas",C209)),ISNUMBER(SEARCH("Cayo Ensenachos",C209)),ISNUMBER(SEARCH("Holguín",C209)),ISNUMBER(SEARCH("Holguin",C209)),ISNUMBER(SEARCH("Havana",C209)),ISNUMBER(SEARCH("Old Havana",C209)),ISNUMBER(SEARCH("Vedado",C209)),ISNUMBER(SEARCH("Miramar",C209))),NOT(ISNUMBER(SEARCH("historical",F209)))),"P209",IF(OR(ISNUMBER(SEARCH("historical",F209)),H209="Low",ISNUMBER(SEARCH("to verify",F209)),ISNUMBER(SEARCH("requires verification",F209))),"Backlog","P210")))))</f>
        <v/>
      </c>
    </row>
    <row r="210" ht="15.75" customHeight="1">
      <c r="H210" s="13"/>
      <c r="L210" s="13" t="str">
        <f>IF(A210="","",IF(OR(COUNTIF('Priority Rules'!$A$2:$A$24,A210)&gt;0,COUNTIF('Priority Rules'!$B$2:$B$8,B210)&gt;0),"P209",IF(COUNTIF('Priority Rules'!$C$2:$C$9,A210)&gt;0,"P210",IF(AND(OR(ISNUMBER(SEARCH("Varadero",C210)),ISNUMBER(SEARCH("Cayo Coco",C210)),ISNUMBER(SEARCH("Cayo Santa María",C210)),ISNUMBER(SEARCH("Cayo Santa Maria",C210)),ISNUMBER(SEARCH("Cayo Guillermo",C210)),ISNUMBER(SEARCH("Cayo Las Brujas",C210)),ISNUMBER(SEARCH("Cayo Ensenachos",C210)),ISNUMBER(SEARCH("Holguín",C210)),ISNUMBER(SEARCH("Holguin",C210)),ISNUMBER(SEARCH("Havana",C210)),ISNUMBER(SEARCH("Old Havana",C210)),ISNUMBER(SEARCH("Vedado",C210)),ISNUMBER(SEARCH("Miramar",C210))),NOT(ISNUMBER(SEARCH("historical",F210)))),"P210",IF(OR(ISNUMBER(SEARCH("historical",F210)),H210="Low",ISNUMBER(SEARCH("to verify",F210)),ISNUMBER(SEARCH("requires verification",F210))),"Backlog","P211")))))</f>
        <v/>
      </c>
    </row>
    <row r="211" ht="15.75" customHeight="1">
      <c r="H211" s="13"/>
      <c r="L211" s="13" t="str">
        <f>IF(A211="","",IF(OR(COUNTIF('Priority Rules'!$A$2:$A$24,A211)&gt;0,COUNTIF('Priority Rules'!$B$2:$B$8,B211)&gt;0),"P210",IF(COUNTIF('Priority Rules'!$C$2:$C$9,A211)&gt;0,"P211",IF(AND(OR(ISNUMBER(SEARCH("Varadero",C211)),ISNUMBER(SEARCH("Cayo Coco",C211)),ISNUMBER(SEARCH("Cayo Santa María",C211)),ISNUMBER(SEARCH("Cayo Santa Maria",C211)),ISNUMBER(SEARCH("Cayo Guillermo",C211)),ISNUMBER(SEARCH("Cayo Las Brujas",C211)),ISNUMBER(SEARCH("Cayo Ensenachos",C211)),ISNUMBER(SEARCH("Holguín",C211)),ISNUMBER(SEARCH("Holguin",C211)),ISNUMBER(SEARCH("Havana",C211)),ISNUMBER(SEARCH("Old Havana",C211)),ISNUMBER(SEARCH("Vedado",C211)),ISNUMBER(SEARCH("Miramar",C211))),NOT(ISNUMBER(SEARCH("historical",F211)))),"P211",IF(OR(ISNUMBER(SEARCH("historical",F211)),H211="Low",ISNUMBER(SEARCH("to verify",F211)),ISNUMBER(SEARCH("requires verification",F211))),"Backlog","P212")))))</f>
        <v/>
      </c>
    </row>
    <row r="212" ht="15.75" customHeight="1">
      <c r="H212" s="13"/>
      <c r="L212" s="13" t="str">
        <f>IF(A212="","",IF(OR(COUNTIF('Priority Rules'!$A$2:$A$24,A212)&gt;0,COUNTIF('Priority Rules'!$B$2:$B$8,B212)&gt;0),"P211",IF(COUNTIF('Priority Rules'!$C$2:$C$9,A212)&gt;0,"P212",IF(AND(OR(ISNUMBER(SEARCH("Varadero",C212)),ISNUMBER(SEARCH("Cayo Coco",C212)),ISNUMBER(SEARCH("Cayo Santa María",C212)),ISNUMBER(SEARCH("Cayo Santa Maria",C212)),ISNUMBER(SEARCH("Cayo Guillermo",C212)),ISNUMBER(SEARCH("Cayo Las Brujas",C212)),ISNUMBER(SEARCH("Cayo Ensenachos",C212)),ISNUMBER(SEARCH("Holguín",C212)),ISNUMBER(SEARCH("Holguin",C212)),ISNUMBER(SEARCH("Havana",C212)),ISNUMBER(SEARCH("Old Havana",C212)),ISNUMBER(SEARCH("Vedado",C212)),ISNUMBER(SEARCH("Miramar",C212))),NOT(ISNUMBER(SEARCH("historical",F212)))),"P212",IF(OR(ISNUMBER(SEARCH("historical",F212)),H212="Low",ISNUMBER(SEARCH("to verify",F212)),ISNUMBER(SEARCH("requires verification",F212))),"Backlog","P213")))))</f>
        <v/>
      </c>
    </row>
    <row r="213" ht="15.75" customHeight="1">
      <c r="H213" s="13"/>
      <c r="L213" s="13" t="str">
        <f>IF(A213="","",IF(OR(COUNTIF('Priority Rules'!$A$2:$A$24,A213)&gt;0,COUNTIF('Priority Rules'!$B$2:$B$8,B213)&gt;0),"P212",IF(COUNTIF('Priority Rules'!$C$2:$C$9,A213)&gt;0,"P213",IF(AND(OR(ISNUMBER(SEARCH("Varadero",C213)),ISNUMBER(SEARCH("Cayo Coco",C213)),ISNUMBER(SEARCH("Cayo Santa María",C213)),ISNUMBER(SEARCH("Cayo Santa Maria",C213)),ISNUMBER(SEARCH("Cayo Guillermo",C213)),ISNUMBER(SEARCH("Cayo Las Brujas",C213)),ISNUMBER(SEARCH("Cayo Ensenachos",C213)),ISNUMBER(SEARCH("Holguín",C213)),ISNUMBER(SEARCH("Holguin",C213)),ISNUMBER(SEARCH("Havana",C213)),ISNUMBER(SEARCH("Old Havana",C213)),ISNUMBER(SEARCH("Vedado",C213)),ISNUMBER(SEARCH("Miramar",C213))),NOT(ISNUMBER(SEARCH("historical",F213)))),"P213",IF(OR(ISNUMBER(SEARCH("historical",F213)),H213="Low",ISNUMBER(SEARCH("to verify",F213)),ISNUMBER(SEARCH("requires verification",F213))),"Backlog","P214")))))</f>
        <v/>
      </c>
    </row>
    <row r="214" ht="15.75" customHeight="1">
      <c r="H214" s="13"/>
      <c r="L214" s="13" t="str">
        <f>IF(A214="","",IF(OR(COUNTIF('Priority Rules'!$A$2:$A$24,A214)&gt;0,COUNTIF('Priority Rules'!$B$2:$B$8,B214)&gt;0),"P213",IF(COUNTIF('Priority Rules'!$C$2:$C$9,A214)&gt;0,"P214",IF(AND(OR(ISNUMBER(SEARCH("Varadero",C214)),ISNUMBER(SEARCH("Cayo Coco",C214)),ISNUMBER(SEARCH("Cayo Santa María",C214)),ISNUMBER(SEARCH("Cayo Santa Maria",C214)),ISNUMBER(SEARCH("Cayo Guillermo",C214)),ISNUMBER(SEARCH("Cayo Las Brujas",C214)),ISNUMBER(SEARCH("Cayo Ensenachos",C214)),ISNUMBER(SEARCH("Holguín",C214)),ISNUMBER(SEARCH("Holguin",C214)),ISNUMBER(SEARCH("Havana",C214)),ISNUMBER(SEARCH("Old Havana",C214)),ISNUMBER(SEARCH("Vedado",C214)),ISNUMBER(SEARCH("Miramar",C214))),NOT(ISNUMBER(SEARCH("historical",F214)))),"P214",IF(OR(ISNUMBER(SEARCH("historical",F214)),H214="Low",ISNUMBER(SEARCH("to verify",F214)),ISNUMBER(SEARCH("requires verification",F214))),"Backlog","P215")))))</f>
        <v/>
      </c>
    </row>
    <row r="215" ht="15.75" customHeight="1">
      <c r="H215" s="13"/>
      <c r="L215" s="13" t="str">
        <f>IF(A215="","",IF(OR(COUNTIF('Priority Rules'!$A$2:$A$24,A215)&gt;0,COUNTIF('Priority Rules'!$B$2:$B$8,B215)&gt;0),"P214",IF(COUNTIF('Priority Rules'!$C$2:$C$9,A215)&gt;0,"P215",IF(AND(OR(ISNUMBER(SEARCH("Varadero",C215)),ISNUMBER(SEARCH("Cayo Coco",C215)),ISNUMBER(SEARCH("Cayo Santa María",C215)),ISNUMBER(SEARCH("Cayo Santa Maria",C215)),ISNUMBER(SEARCH("Cayo Guillermo",C215)),ISNUMBER(SEARCH("Cayo Las Brujas",C215)),ISNUMBER(SEARCH("Cayo Ensenachos",C215)),ISNUMBER(SEARCH("Holguín",C215)),ISNUMBER(SEARCH("Holguin",C215)),ISNUMBER(SEARCH("Havana",C215)),ISNUMBER(SEARCH("Old Havana",C215)),ISNUMBER(SEARCH("Vedado",C215)),ISNUMBER(SEARCH("Miramar",C215))),NOT(ISNUMBER(SEARCH("historical",F215)))),"P215",IF(OR(ISNUMBER(SEARCH("historical",F215)),H215="Low",ISNUMBER(SEARCH("to verify",F215)),ISNUMBER(SEARCH("requires verification",F215))),"Backlog","P216")))))</f>
        <v/>
      </c>
    </row>
    <row r="216" ht="15.75" customHeight="1">
      <c r="H216" s="13"/>
      <c r="L216" s="13" t="str">
        <f>IF(A216="","",IF(OR(COUNTIF('Priority Rules'!$A$2:$A$24,A216)&gt;0,COUNTIF('Priority Rules'!$B$2:$B$8,B216)&gt;0),"P215",IF(COUNTIF('Priority Rules'!$C$2:$C$9,A216)&gt;0,"P216",IF(AND(OR(ISNUMBER(SEARCH("Varadero",C216)),ISNUMBER(SEARCH("Cayo Coco",C216)),ISNUMBER(SEARCH("Cayo Santa María",C216)),ISNUMBER(SEARCH("Cayo Santa Maria",C216)),ISNUMBER(SEARCH("Cayo Guillermo",C216)),ISNUMBER(SEARCH("Cayo Las Brujas",C216)),ISNUMBER(SEARCH("Cayo Ensenachos",C216)),ISNUMBER(SEARCH("Holguín",C216)),ISNUMBER(SEARCH("Holguin",C216)),ISNUMBER(SEARCH("Havana",C216)),ISNUMBER(SEARCH("Old Havana",C216)),ISNUMBER(SEARCH("Vedado",C216)),ISNUMBER(SEARCH("Miramar",C216))),NOT(ISNUMBER(SEARCH("historical",F216)))),"P216",IF(OR(ISNUMBER(SEARCH("historical",F216)),H216="Low",ISNUMBER(SEARCH("to verify",F216)),ISNUMBER(SEARCH("requires verification",F216))),"Backlog","P217")))))</f>
        <v/>
      </c>
    </row>
    <row r="217" ht="15.75" customHeight="1">
      <c r="H217" s="13"/>
      <c r="L217" s="13" t="str">
        <f>IF(A217="","",IF(OR(COUNTIF('Priority Rules'!$A$2:$A$24,A217)&gt;0,COUNTIF('Priority Rules'!$B$2:$B$8,B217)&gt;0),"P216",IF(COUNTIF('Priority Rules'!$C$2:$C$9,A217)&gt;0,"P217",IF(AND(OR(ISNUMBER(SEARCH("Varadero",C217)),ISNUMBER(SEARCH("Cayo Coco",C217)),ISNUMBER(SEARCH("Cayo Santa María",C217)),ISNUMBER(SEARCH("Cayo Santa Maria",C217)),ISNUMBER(SEARCH("Cayo Guillermo",C217)),ISNUMBER(SEARCH("Cayo Las Brujas",C217)),ISNUMBER(SEARCH("Cayo Ensenachos",C217)),ISNUMBER(SEARCH("Holguín",C217)),ISNUMBER(SEARCH("Holguin",C217)),ISNUMBER(SEARCH("Havana",C217)),ISNUMBER(SEARCH("Old Havana",C217)),ISNUMBER(SEARCH("Vedado",C217)),ISNUMBER(SEARCH("Miramar",C217))),NOT(ISNUMBER(SEARCH("historical",F217)))),"P217",IF(OR(ISNUMBER(SEARCH("historical",F217)),H217="Low",ISNUMBER(SEARCH("to verify",F217)),ISNUMBER(SEARCH("requires verification",F217))),"Backlog","P218")))))</f>
        <v/>
      </c>
    </row>
    <row r="218" ht="15.75" customHeight="1">
      <c r="H218" s="13"/>
      <c r="L218" s="13" t="str">
        <f>IF(A218="","",IF(OR(COUNTIF('Priority Rules'!$A$2:$A$24,A218)&gt;0,COUNTIF('Priority Rules'!$B$2:$B$8,B218)&gt;0),"P217",IF(COUNTIF('Priority Rules'!$C$2:$C$9,A218)&gt;0,"P218",IF(AND(OR(ISNUMBER(SEARCH("Varadero",C218)),ISNUMBER(SEARCH("Cayo Coco",C218)),ISNUMBER(SEARCH("Cayo Santa María",C218)),ISNUMBER(SEARCH("Cayo Santa Maria",C218)),ISNUMBER(SEARCH("Cayo Guillermo",C218)),ISNUMBER(SEARCH("Cayo Las Brujas",C218)),ISNUMBER(SEARCH("Cayo Ensenachos",C218)),ISNUMBER(SEARCH("Holguín",C218)),ISNUMBER(SEARCH("Holguin",C218)),ISNUMBER(SEARCH("Havana",C218)),ISNUMBER(SEARCH("Old Havana",C218)),ISNUMBER(SEARCH("Vedado",C218)),ISNUMBER(SEARCH("Miramar",C218))),NOT(ISNUMBER(SEARCH("historical",F218)))),"P218",IF(OR(ISNUMBER(SEARCH("historical",F218)),H218="Low",ISNUMBER(SEARCH("to verify",F218)),ISNUMBER(SEARCH("requires verification",F218))),"Backlog","P219")))))</f>
        <v/>
      </c>
    </row>
    <row r="219" ht="15.75" customHeight="1">
      <c r="H219" s="13"/>
      <c r="L219" s="13" t="str">
        <f>IF(A219="","",IF(OR(COUNTIF('Priority Rules'!$A$2:$A$24,A219)&gt;0,COUNTIF('Priority Rules'!$B$2:$B$8,B219)&gt;0),"P218",IF(COUNTIF('Priority Rules'!$C$2:$C$9,A219)&gt;0,"P219",IF(AND(OR(ISNUMBER(SEARCH("Varadero",C219)),ISNUMBER(SEARCH("Cayo Coco",C219)),ISNUMBER(SEARCH("Cayo Santa María",C219)),ISNUMBER(SEARCH("Cayo Santa Maria",C219)),ISNUMBER(SEARCH("Cayo Guillermo",C219)),ISNUMBER(SEARCH("Cayo Las Brujas",C219)),ISNUMBER(SEARCH("Cayo Ensenachos",C219)),ISNUMBER(SEARCH("Holguín",C219)),ISNUMBER(SEARCH("Holguin",C219)),ISNUMBER(SEARCH("Havana",C219)),ISNUMBER(SEARCH("Old Havana",C219)),ISNUMBER(SEARCH("Vedado",C219)),ISNUMBER(SEARCH("Miramar",C219))),NOT(ISNUMBER(SEARCH("historical",F219)))),"P219",IF(OR(ISNUMBER(SEARCH("historical",F219)),H219="Low",ISNUMBER(SEARCH("to verify",F219)),ISNUMBER(SEARCH("requires verification",F219))),"Backlog","P220")))))</f>
        <v/>
      </c>
    </row>
    <row r="220" ht="15.75" customHeight="1">
      <c r="H220" s="13"/>
      <c r="L220" s="13" t="str">
        <f>IF(A220="","",IF(OR(COUNTIF('Priority Rules'!$A$2:$A$24,A220)&gt;0,COUNTIF('Priority Rules'!$B$2:$B$8,B220)&gt;0),"P219",IF(COUNTIF('Priority Rules'!$C$2:$C$9,A220)&gt;0,"P220",IF(AND(OR(ISNUMBER(SEARCH("Varadero",C220)),ISNUMBER(SEARCH("Cayo Coco",C220)),ISNUMBER(SEARCH("Cayo Santa María",C220)),ISNUMBER(SEARCH("Cayo Santa Maria",C220)),ISNUMBER(SEARCH("Cayo Guillermo",C220)),ISNUMBER(SEARCH("Cayo Las Brujas",C220)),ISNUMBER(SEARCH("Cayo Ensenachos",C220)),ISNUMBER(SEARCH("Holguín",C220)),ISNUMBER(SEARCH("Holguin",C220)),ISNUMBER(SEARCH("Havana",C220)),ISNUMBER(SEARCH("Old Havana",C220)),ISNUMBER(SEARCH("Vedado",C220)),ISNUMBER(SEARCH("Miramar",C220))),NOT(ISNUMBER(SEARCH("historical",F220)))),"P220",IF(OR(ISNUMBER(SEARCH("historical",F220)),H220="Low",ISNUMBER(SEARCH("to verify",F220)),ISNUMBER(SEARCH("requires verification",F220))),"Backlog","P221")))))</f>
        <v/>
      </c>
    </row>
    <row r="221" ht="15.75" customHeight="1">
      <c r="H221" s="13"/>
      <c r="L221" s="13" t="str">
        <f>IF(A221="","",IF(OR(COUNTIF('Priority Rules'!$A$2:$A$24,A221)&gt;0,COUNTIF('Priority Rules'!$B$2:$B$8,B221)&gt;0),"P220",IF(COUNTIF('Priority Rules'!$C$2:$C$9,A221)&gt;0,"P221",IF(AND(OR(ISNUMBER(SEARCH("Varadero",C221)),ISNUMBER(SEARCH("Cayo Coco",C221)),ISNUMBER(SEARCH("Cayo Santa María",C221)),ISNUMBER(SEARCH("Cayo Santa Maria",C221)),ISNUMBER(SEARCH("Cayo Guillermo",C221)),ISNUMBER(SEARCH("Cayo Las Brujas",C221)),ISNUMBER(SEARCH("Cayo Ensenachos",C221)),ISNUMBER(SEARCH("Holguín",C221)),ISNUMBER(SEARCH("Holguin",C221)),ISNUMBER(SEARCH("Havana",C221)),ISNUMBER(SEARCH("Old Havana",C221)),ISNUMBER(SEARCH("Vedado",C221)),ISNUMBER(SEARCH("Miramar",C221))),NOT(ISNUMBER(SEARCH("historical",F221)))),"P221",IF(OR(ISNUMBER(SEARCH("historical",F221)),H221="Low",ISNUMBER(SEARCH("to verify",F221)),ISNUMBER(SEARCH("requires verification",F221))),"Backlog","P222")))))</f>
        <v/>
      </c>
    </row>
    <row r="222" ht="15.75" customHeight="1">
      <c r="H222" s="13"/>
      <c r="L222" s="13" t="str">
        <f>IF(A222="","",IF(OR(COUNTIF('Priority Rules'!$A$2:$A$24,A222)&gt;0,COUNTIF('Priority Rules'!$B$2:$B$8,B222)&gt;0),"P221",IF(COUNTIF('Priority Rules'!$C$2:$C$9,A222)&gt;0,"P222",IF(AND(OR(ISNUMBER(SEARCH("Varadero",C222)),ISNUMBER(SEARCH("Cayo Coco",C222)),ISNUMBER(SEARCH("Cayo Santa María",C222)),ISNUMBER(SEARCH("Cayo Santa Maria",C222)),ISNUMBER(SEARCH("Cayo Guillermo",C222)),ISNUMBER(SEARCH("Cayo Las Brujas",C222)),ISNUMBER(SEARCH("Cayo Ensenachos",C222)),ISNUMBER(SEARCH("Holguín",C222)),ISNUMBER(SEARCH("Holguin",C222)),ISNUMBER(SEARCH("Havana",C222)),ISNUMBER(SEARCH("Old Havana",C222)),ISNUMBER(SEARCH("Vedado",C222)),ISNUMBER(SEARCH("Miramar",C222))),NOT(ISNUMBER(SEARCH("historical",F222)))),"P222",IF(OR(ISNUMBER(SEARCH("historical",F222)),H222="Low",ISNUMBER(SEARCH("to verify",F222)),ISNUMBER(SEARCH("requires verification",F222))),"Backlog","P223")))))</f>
        <v/>
      </c>
    </row>
    <row r="223" ht="15.75" customHeight="1">
      <c r="H223" s="13"/>
      <c r="L223" s="13" t="str">
        <f>IF(A223="","",IF(OR(COUNTIF('Priority Rules'!$A$2:$A$24,A223)&gt;0,COUNTIF('Priority Rules'!$B$2:$B$8,B223)&gt;0),"P222",IF(COUNTIF('Priority Rules'!$C$2:$C$9,A223)&gt;0,"P223",IF(AND(OR(ISNUMBER(SEARCH("Varadero",C223)),ISNUMBER(SEARCH("Cayo Coco",C223)),ISNUMBER(SEARCH("Cayo Santa María",C223)),ISNUMBER(SEARCH("Cayo Santa Maria",C223)),ISNUMBER(SEARCH("Cayo Guillermo",C223)),ISNUMBER(SEARCH("Cayo Las Brujas",C223)),ISNUMBER(SEARCH("Cayo Ensenachos",C223)),ISNUMBER(SEARCH("Holguín",C223)),ISNUMBER(SEARCH("Holguin",C223)),ISNUMBER(SEARCH("Havana",C223)),ISNUMBER(SEARCH("Old Havana",C223)),ISNUMBER(SEARCH("Vedado",C223)),ISNUMBER(SEARCH("Miramar",C223))),NOT(ISNUMBER(SEARCH("historical",F223)))),"P223",IF(OR(ISNUMBER(SEARCH("historical",F223)),H223="Low",ISNUMBER(SEARCH("to verify",F223)),ISNUMBER(SEARCH("requires verification",F223))),"Backlog","P224")))))</f>
        <v/>
      </c>
    </row>
    <row r="224" ht="15.75" customHeight="1">
      <c r="H224" s="13"/>
      <c r="L224" s="13" t="str">
        <f>IF(A224="","",IF(OR(COUNTIF('Priority Rules'!$A$2:$A$24,A224)&gt;0,COUNTIF('Priority Rules'!$B$2:$B$8,B224)&gt;0),"P223",IF(COUNTIF('Priority Rules'!$C$2:$C$9,A224)&gt;0,"P224",IF(AND(OR(ISNUMBER(SEARCH("Varadero",C224)),ISNUMBER(SEARCH("Cayo Coco",C224)),ISNUMBER(SEARCH("Cayo Santa María",C224)),ISNUMBER(SEARCH("Cayo Santa Maria",C224)),ISNUMBER(SEARCH("Cayo Guillermo",C224)),ISNUMBER(SEARCH("Cayo Las Brujas",C224)),ISNUMBER(SEARCH("Cayo Ensenachos",C224)),ISNUMBER(SEARCH("Holguín",C224)),ISNUMBER(SEARCH("Holguin",C224)),ISNUMBER(SEARCH("Havana",C224)),ISNUMBER(SEARCH("Old Havana",C224)),ISNUMBER(SEARCH("Vedado",C224)),ISNUMBER(SEARCH("Miramar",C224))),NOT(ISNUMBER(SEARCH("historical",F224)))),"P224",IF(OR(ISNUMBER(SEARCH("historical",F224)),H224="Low",ISNUMBER(SEARCH("to verify",F224)),ISNUMBER(SEARCH("requires verification",F224))),"Backlog","P225")))))</f>
        <v/>
      </c>
    </row>
    <row r="225" ht="15.75" customHeight="1">
      <c r="H225" s="13"/>
      <c r="L225" s="13" t="str">
        <f>IF(A225="","",IF(OR(COUNTIF('Priority Rules'!$A$2:$A$24,A225)&gt;0,COUNTIF('Priority Rules'!$B$2:$B$8,B225)&gt;0),"P224",IF(COUNTIF('Priority Rules'!$C$2:$C$9,A225)&gt;0,"P225",IF(AND(OR(ISNUMBER(SEARCH("Varadero",C225)),ISNUMBER(SEARCH("Cayo Coco",C225)),ISNUMBER(SEARCH("Cayo Santa María",C225)),ISNUMBER(SEARCH("Cayo Santa Maria",C225)),ISNUMBER(SEARCH("Cayo Guillermo",C225)),ISNUMBER(SEARCH("Cayo Las Brujas",C225)),ISNUMBER(SEARCH("Cayo Ensenachos",C225)),ISNUMBER(SEARCH("Holguín",C225)),ISNUMBER(SEARCH("Holguin",C225)),ISNUMBER(SEARCH("Havana",C225)),ISNUMBER(SEARCH("Old Havana",C225)),ISNUMBER(SEARCH("Vedado",C225)),ISNUMBER(SEARCH("Miramar",C225))),NOT(ISNUMBER(SEARCH("historical",F225)))),"P225",IF(OR(ISNUMBER(SEARCH("historical",F225)),H225="Low",ISNUMBER(SEARCH("to verify",F225)),ISNUMBER(SEARCH("requires verification",F225))),"Backlog","P226")))))</f>
        <v/>
      </c>
    </row>
    <row r="226" ht="15.75" customHeight="1">
      <c r="H226" s="13"/>
      <c r="L226" s="13" t="str">
        <f>IF(A226="","",IF(OR(COUNTIF('Priority Rules'!$A$2:$A$24,A226)&gt;0,COUNTIF('Priority Rules'!$B$2:$B$8,B226)&gt;0),"P225",IF(COUNTIF('Priority Rules'!$C$2:$C$9,A226)&gt;0,"P226",IF(AND(OR(ISNUMBER(SEARCH("Varadero",C226)),ISNUMBER(SEARCH("Cayo Coco",C226)),ISNUMBER(SEARCH("Cayo Santa María",C226)),ISNUMBER(SEARCH("Cayo Santa Maria",C226)),ISNUMBER(SEARCH("Cayo Guillermo",C226)),ISNUMBER(SEARCH("Cayo Las Brujas",C226)),ISNUMBER(SEARCH("Cayo Ensenachos",C226)),ISNUMBER(SEARCH("Holguín",C226)),ISNUMBER(SEARCH("Holguin",C226)),ISNUMBER(SEARCH("Havana",C226)),ISNUMBER(SEARCH("Old Havana",C226)),ISNUMBER(SEARCH("Vedado",C226)),ISNUMBER(SEARCH("Miramar",C226))),NOT(ISNUMBER(SEARCH("historical",F226)))),"P226",IF(OR(ISNUMBER(SEARCH("historical",F226)),H226="Low",ISNUMBER(SEARCH("to verify",F226)),ISNUMBER(SEARCH("requires verification",F226))),"Backlog","P227")))))</f>
        <v/>
      </c>
    </row>
    <row r="227" ht="15.75" customHeight="1">
      <c r="H227" s="13"/>
      <c r="L227" s="13" t="str">
        <f>IF(A227="","",IF(OR(COUNTIF('Priority Rules'!$A$2:$A$24,A227)&gt;0,COUNTIF('Priority Rules'!$B$2:$B$8,B227)&gt;0),"P226",IF(COUNTIF('Priority Rules'!$C$2:$C$9,A227)&gt;0,"P227",IF(AND(OR(ISNUMBER(SEARCH("Varadero",C227)),ISNUMBER(SEARCH("Cayo Coco",C227)),ISNUMBER(SEARCH("Cayo Santa María",C227)),ISNUMBER(SEARCH("Cayo Santa Maria",C227)),ISNUMBER(SEARCH("Cayo Guillermo",C227)),ISNUMBER(SEARCH("Cayo Las Brujas",C227)),ISNUMBER(SEARCH("Cayo Ensenachos",C227)),ISNUMBER(SEARCH("Holguín",C227)),ISNUMBER(SEARCH("Holguin",C227)),ISNUMBER(SEARCH("Havana",C227)),ISNUMBER(SEARCH("Old Havana",C227)),ISNUMBER(SEARCH("Vedado",C227)),ISNUMBER(SEARCH("Miramar",C227))),NOT(ISNUMBER(SEARCH("historical",F227)))),"P227",IF(OR(ISNUMBER(SEARCH("historical",F227)),H227="Low",ISNUMBER(SEARCH("to verify",F227)),ISNUMBER(SEARCH("requires verification",F227))),"Backlog","P228")))))</f>
        <v/>
      </c>
    </row>
    <row r="228" ht="15.75" customHeight="1">
      <c r="H228" s="13"/>
      <c r="L228" s="13" t="str">
        <f>IF(A228="","",IF(OR(COUNTIF('Priority Rules'!$A$2:$A$24,A228)&gt;0,COUNTIF('Priority Rules'!$B$2:$B$8,B228)&gt;0),"P227",IF(COUNTIF('Priority Rules'!$C$2:$C$9,A228)&gt;0,"P228",IF(AND(OR(ISNUMBER(SEARCH("Varadero",C228)),ISNUMBER(SEARCH("Cayo Coco",C228)),ISNUMBER(SEARCH("Cayo Santa María",C228)),ISNUMBER(SEARCH("Cayo Santa Maria",C228)),ISNUMBER(SEARCH("Cayo Guillermo",C228)),ISNUMBER(SEARCH("Cayo Las Brujas",C228)),ISNUMBER(SEARCH("Cayo Ensenachos",C228)),ISNUMBER(SEARCH("Holguín",C228)),ISNUMBER(SEARCH("Holguin",C228)),ISNUMBER(SEARCH("Havana",C228)),ISNUMBER(SEARCH("Old Havana",C228)),ISNUMBER(SEARCH("Vedado",C228)),ISNUMBER(SEARCH("Miramar",C228))),NOT(ISNUMBER(SEARCH("historical",F228)))),"P228",IF(OR(ISNUMBER(SEARCH("historical",F228)),H228="Low",ISNUMBER(SEARCH("to verify",F228)),ISNUMBER(SEARCH("requires verification",F228))),"Backlog","P229")))))</f>
        <v/>
      </c>
    </row>
    <row r="229" ht="15.75" customHeight="1">
      <c r="H229" s="13"/>
      <c r="L229" s="13" t="str">
        <f>IF(A229="","",IF(OR(COUNTIF('Priority Rules'!$A$2:$A$24,A229)&gt;0,COUNTIF('Priority Rules'!$B$2:$B$8,B229)&gt;0),"P228",IF(COUNTIF('Priority Rules'!$C$2:$C$9,A229)&gt;0,"P229",IF(AND(OR(ISNUMBER(SEARCH("Varadero",C229)),ISNUMBER(SEARCH("Cayo Coco",C229)),ISNUMBER(SEARCH("Cayo Santa María",C229)),ISNUMBER(SEARCH("Cayo Santa Maria",C229)),ISNUMBER(SEARCH("Cayo Guillermo",C229)),ISNUMBER(SEARCH("Cayo Las Brujas",C229)),ISNUMBER(SEARCH("Cayo Ensenachos",C229)),ISNUMBER(SEARCH("Holguín",C229)),ISNUMBER(SEARCH("Holguin",C229)),ISNUMBER(SEARCH("Havana",C229)),ISNUMBER(SEARCH("Old Havana",C229)),ISNUMBER(SEARCH("Vedado",C229)),ISNUMBER(SEARCH("Miramar",C229))),NOT(ISNUMBER(SEARCH("historical",F229)))),"P229",IF(OR(ISNUMBER(SEARCH("historical",F229)),H229="Low",ISNUMBER(SEARCH("to verify",F229)),ISNUMBER(SEARCH("requires verification",F229))),"Backlog","P230")))))</f>
        <v/>
      </c>
    </row>
    <row r="230" ht="15.75" customHeight="1">
      <c r="H230" s="13"/>
      <c r="L230" s="13" t="str">
        <f>IF(A230="","",IF(OR(COUNTIF('Priority Rules'!$A$2:$A$24,A230)&gt;0,COUNTIF('Priority Rules'!$B$2:$B$8,B230)&gt;0),"P229",IF(COUNTIF('Priority Rules'!$C$2:$C$9,A230)&gt;0,"P230",IF(AND(OR(ISNUMBER(SEARCH("Varadero",C230)),ISNUMBER(SEARCH("Cayo Coco",C230)),ISNUMBER(SEARCH("Cayo Santa María",C230)),ISNUMBER(SEARCH("Cayo Santa Maria",C230)),ISNUMBER(SEARCH("Cayo Guillermo",C230)),ISNUMBER(SEARCH("Cayo Las Brujas",C230)),ISNUMBER(SEARCH("Cayo Ensenachos",C230)),ISNUMBER(SEARCH("Holguín",C230)),ISNUMBER(SEARCH("Holguin",C230)),ISNUMBER(SEARCH("Havana",C230)),ISNUMBER(SEARCH("Old Havana",C230)),ISNUMBER(SEARCH("Vedado",C230)),ISNUMBER(SEARCH("Miramar",C230))),NOT(ISNUMBER(SEARCH("historical",F230)))),"P230",IF(OR(ISNUMBER(SEARCH("historical",F230)),H230="Low",ISNUMBER(SEARCH("to verify",F230)),ISNUMBER(SEARCH("requires verification",F230))),"Backlog","P231")))))</f>
        <v/>
      </c>
    </row>
    <row r="231" ht="15.75" customHeight="1">
      <c r="H231" s="13"/>
      <c r="L231" s="13" t="str">
        <f>IF(A231="","",IF(OR(COUNTIF('Priority Rules'!$A$2:$A$24,A231)&gt;0,COUNTIF('Priority Rules'!$B$2:$B$8,B231)&gt;0),"P230",IF(COUNTIF('Priority Rules'!$C$2:$C$9,A231)&gt;0,"P231",IF(AND(OR(ISNUMBER(SEARCH("Varadero",C231)),ISNUMBER(SEARCH("Cayo Coco",C231)),ISNUMBER(SEARCH("Cayo Santa María",C231)),ISNUMBER(SEARCH("Cayo Santa Maria",C231)),ISNUMBER(SEARCH("Cayo Guillermo",C231)),ISNUMBER(SEARCH("Cayo Las Brujas",C231)),ISNUMBER(SEARCH("Cayo Ensenachos",C231)),ISNUMBER(SEARCH("Holguín",C231)),ISNUMBER(SEARCH("Holguin",C231)),ISNUMBER(SEARCH("Havana",C231)),ISNUMBER(SEARCH("Old Havana",C231)),ISNUMBER(SEARCH("Vedado",C231)),ISNUMBER(SEARCH("Miramar",C231))),NOT(ISNUMBER(SEARCH("historical",F231)))),"P231",IF(OR(ISNUMBER(SEARCH("historical",F231)),H231="Low",ISNUMBER(SEARCH("to verify",F231)),ISNUMBER(SEARCH("requires verification",F231))),"Backlog","P232")))))</f>
        <v/>
      </c>
    </row>
    <row r="232" ht="15.75" customHeight="1">
      <c r="H232" s="13"/>
      <c r="L232" s="13" t="str">
        <f>IF(A232="","",IF(OR(COUNTIF('Priority Rules'!$A$2:$A$24,A232)&gt;0,COUNTIF('Priority Rules'!$B$2:$B$8,B232)&gt;0),"P231",IF(COUNTIF('Priority Rules'!$C$2:$C$9,A232)&gt;0,"P232",IF(AND(OR(ISNUMBER(SEARCH("Varadero",C232)),ISNUMBER(SEARCH("Cayo Coco",C232)),ISNUMBER(SEARCH("Cayo Santa María",C232)),ISNUMBER(SEARCH("Cayo Santa Maria",C232)),ISNUMBER(SEARCH("Cayo Guillermo",C232)),ISNUMBER(SEARCH("Cayo Las Brujas",C232)),ISNUMBER(SEARCH("Cayo Ensenachos",C232)),ISNUMBER(SEARCH("Holguín",C232)),ISNUMBER(SEARCH("Holguin",C232)),ISNUMBER(SEARCH("Havana",C232)),ISNUMBER(SEARCH("Old Havana",C232)),ISNUMBER(SEARCH("Vedado",C232)),ISNUMBER(SEARCH("Miramar",C232))),NOT(ISNUMBER(SEARCH("historical",F232)))),"P232",IF(OR(ISNUMBER(SEARCH("historical",F232)),H232="Low",ISNUMBER(SEARCH("to verify",F232)),ISNUMBER(SEARCH("requires verification",F232))),"Backlog","P233")))))</f>
        <v/>
      </c>
    </row>
    <row r="233" ht="15.75" customHeight="1">
      <c r="H233" s="13"/>
      <c r="L233" s="13" t="str">
        <f>IF(A233="","",IF(OR(COUNTIF('Priority Rules'!$A$2:$A$24,A233)&gt;0,COUNTIF('Priority Rules'!$B$2:$B$8,B233)&gt;0),"P232",IF(COUNTIF('Priority Rules'!$C$2:$C$9,A233)&gt;0,"P233",IF(AND(OR(ISNUMBER(SEARCH("Varadero",C233)),ISNUMBER(SEARCH("Cayo Coco",C233)),ISNUMBER(SEARCH("Cayo Santa María",C233)),ISNUMBER(SEARCH("Cayo Santa Maria",C233)),ISNUMBER(SEARCH("Cayo Guillermo",C233)),ISNUMBER(SEARCH("Cayo Las Brujas",C233)),ISNUMBER(SEARCH("Cayo Ensenachos",C233)),ISNUMBER(SEARCH("Holguín",C233)),ISNUMBER(SEARCH("Holguin",C233)),ISNUMBER(SEARCH("Havana",C233)),ISNUMBER(SEARCH("Old Havana",C233)),ISNUMBER(SEARCH("Vedado",C233)),ISNUMBER(SEARCH("Miramar",C233))),NOT(ISNUMBER(SEARCH("historical",F233)))),"P233",IF(OR(ISNUMBER(SEARCH("historical",F233)),H233="Low",ISNUMBER(SEARCH("to verify",F233)),ISNUMBER(SEARCH("requires verification",F233))),"Backlog","P234")))))</f>
        <v/>
      </c>
    </row>
    <row r="234" ht="15.75" customHeight="1">
      <c r="H234" s="13"/>
      <c r="L234" s="13" t="str">
        <f>IF(A234="","",IF(OR(COUNTIF('Priority Rules'!$A$2:$A$24,A234)&gt;0,COUNTIF('Priority Rules'!$B$2:$B$8,B234)&gt;0),"P233",IF(COUNTIF('Priority Rules'!$C$2:$C$9,A234)&gt;0,"P234",IF(AND(OR(ISNUMBER(SEARCH("Varadero",C234)),ISNUMBER(SEARCH("Cayo Coco",C234)),ISNUMBER(SEARCH("Cayo Santa María",C234)),ISNUMBER(SEARCH("Cayo Santa Maria",C234)),ISNUMBER(SEARCH("Cayo Guillermo",C234)),ISNUMBER(SEARCH("Cayo Las Brujas",C234)),ISNUMBER(SEARCH("Cayo Ensenachos",C234)),ISNUMBER(SEARCH("Holguín",C234)),ISNUMBER(SEARCH("Holguin",C234)),ISNUMBER(SEARCH("Havana",C234)),ISNUMBER(SEARCH("Old Havana",C234)),ISNUMBER(SEARCH("Vedado",C234)),ISNUMBER(SEARCH("Miramar",C234))),NOT(ISNUMBER(SEARCH("historical",F234)))),"P234",IF(OR(ISNUMBER(SEARCH("historical",F234)),H234="Low",ISNUMBER(SEARCH("to verify",F234)),ISNUMBER(SEARCH("requires verification",F234))),"Backlog","P235")))))</f>
        <v/>
      </c>
    </row>
    <row r="235" ht="15.75" customHeight="1">
      <c r="H235" s="13"/>
      <c r="L235" s="13" t="str">
        <f>IF(A235="","",IF(OR(COUNTIF('Priority Rules'!$A$2:$A$24,A235)&gt;0,COUNTIF('Priority Rules'!$B$2:$B$8,B235)&gt;0),"P234",IF(COUNTIF('Priority Rules'!$C$2:$C$9,A235)&gt;0,"P235",IF(AND(OR(ISNUMBER(SEARCH("Varadero",C235)),ISNUMBER(SEARCH("Cayo Coco",C235)),ISNUMBER(SEARCH("Cayo Santa María",C235)),ISNUMBER(SEARCH("Cayo Santa Maria",C235)),ISNUMBER(SEARCH("Cayo Guillermo",C235)),ISNUMBER(SEARCH("Cayo Las Brujas",C235)),ISNUMBER(SEARCH("Cayo Ensenachos",C235)),ISNUMBER(SEARCH("Holguín",C235)),ISNUMBER(SEARCH("Holguin",C235)),ISNUMBER(SEARCH("Havana",C235)),ISNUMBER(SEARCH("Old Havana",C235)),ISNUMBER(SEARCH("Vedado",C235)),ISNUMBER(SEARCH("Miramar",C235))),NOT(ISNUMBER(SEARCH("historical",F235)))),"P235",IF(OR(ISNUMBER(SEARCH("historical",F235)),H235="Low",ISNUMBER(SEARCH("to verify",F235)),ISNUMBER(SEARCH("requires verification",F235))),"Backlog","P236")))))</f>
        <v/>
      </c>
    </row>
    <row r="236" ht="15.75" customHeight="1">
      <c r="H236" s="13"/>
      <c r="L236" s="13" t="str">
        <f>IF(A236="","",IF(OR(COUNTIF('Priority Rules'!$A$2:$A$24,A236)&gt;0,COUNTIF('Priority Rules'!$B$2:$B$8,B236)&gt;0),"P235",IF(COUNTIF('Priority Rules'!$C$2:$C$9,A236)&gt;0,"P236",IF(AND(OR(ISNUMBER(SEARCH("Varadero",C236)),ISNUMBER(SEARCH("Cayo Coco",C236)),ISNUMBER(SEARCH("Cayo Santa María",C236)),ISNUMBER(SEARCH("Cayo Santa Maria",C236)),ISNUMBER(SEARCH("Cayo Guillermo",C236)),ISNUMBER(SEARCH("Cayo Las Brujas",C236)),ISNUMBER(SEARCH("Cayo Ensenachos",C236)),ISNUMBER(SEARCH("Holguín",C236)),ISNUMBER(SEARCH("Holguin",C236)),ISNUMBER(SEARCH("Havana",C236)),ISNUMBER(SEARCH("Old Havana",C236)),ISNUMBER(SEARCH("Vedado",C236)),ISNUMBER(SEARCH("Miramar",C236))),NOT(ISNUMBER(SEARCH("historical",F236)))),"P236",IF(OR(ISNUMBER(SEARCH("historical",F236)),H236="Low",ISNUMBER(SEARCH("to verify",F236)),ISNUMBER(SEARCH("requires verification",F236))),"Backlog","P237")))))</f>
        <v/>
      </c>
    </row>
    <row r="237" ht="15.75" customHeight="1">
      <c r="H237" s="13"/>
      <c r="L237" s="13" t="str">
        <f>IF(A237="","",IF(OR(COUNTIF('Priority Rules'!$A$2:$A$24,A237)&gt;0,COUNTIF('Priority Rules'!$B$2:$B$8,B237)&gt;0),"P236",IF(COUNTIF('Priority Rules'!$C$2:$C$9,A237)&gt;0,"P237",IF(AND(OR(ISNUMBER(SEARCH("Varadero",C237)),ISNUMBER(SEARCH("Cayo Coco",C237)),ISNUMBER(SEARCH("Cayo Santa María",C237)),ISNUMBER(SEARCH("Cayo Santa Maria",C237)),ISNUMBER(SEARCH("Cayo Guillermo",C237)),ISNUMBER(SEARCH("Cayo Las Brujas",C237)),ISNUMBER(SEARCH("Cayo Ensenachos",C237)),ISNUMBER(SEARCH("Holguín",C237)),ISNUMBER(SEARCH("Holguin",C237)),ISNUMBER(SEARCH("Havana",C237)),ISNUMBER(SEARCH("Old Havana",C237)),ISNUMBER(SEARCH("Vedado",C237)),ISNUMBER(SEARCH("Miramar",C237))),NOT(ISNUMBER(SEARCH("historical",F237)))),"P237",IF(OR(ISNUMBER(SEARCH("historical",F237)),H237="Low",ISNUMBER(SEARCH("to verify",F237)),ISNUMBER(SEARCH("requires verification",F237))),"Backlog","P238")))))</f>
        <v/>
      </c>
    </row>
    <row r="238" ht="15.75" customHeight="1">
      <c r="H238" s="13"/>
      <c r="L238" s="13" t="str">
        <f>IF(A238="","",IF(OR(COUNTIF('Priority Rules'!$A$2:$A$24,A238)&gt;0,COUNTIF('Priority Rules'!$B$2:$B$8,B238)&gt;0),"P237",IF(COUNTIF('Priority Rules'!$C$2:$C$9,A238)&gt;0,"P238",IF(AND(OR(ISNUMBER(SEARCH("Varadero",C238)),ISNUMBER(SEARCH("Cayo Coco",C238)),ISNUMBER(SEARCH("Cayo Santa María",C238)),ISNUMBER(SEARCH("Cayo Santa Maria",C238)),ISNUMBER(SEARCH("Cayo Guillermo",C238)),ISNUMBER(SEARCH("Cayo Las Brujas",C238)),ISNUMBER(SEARCH("Cayo Ensenachos",C238)),ISNUMBER(SEARCH("Holguín",C238)),ISNUMBER(SEARCH("Holguin",C238)),ISNUMBER(SEARCH("Havana",C238)),ISNUMBER(SEARCH("Old Havana",C238)),ISNUMBER(SEARCH("Vedado",C238)),ISNUMBER(SEARCH("Miramar",C238))),NOT(ISNUMBER(SEARCH("historical",F238)))),"P238",IF(OR(ISNUMBER(SEARCH("historical",F238)),H238="Low",ISNUMBER(SEARCH("to verify",F238)),ISNUMBER(SEARCH("requires verification",F238))),"Backlog","P239")))))</f>
        <v/>
      </c>
    </row>
    <row r="239" ht="15.75" customHeight="1">
      <c r="H239" s="13"/>
      <c r="L239" s="13" t="str">
        <f>IF(A239="","",IF(OR(COUNTIF('Priority Rules'!$A$2:$A$24,A239)&gt;0,COUNTIF('Priority Rules'!$B$2:$B$8,B239)&gt;0),"P238",IF(COUNTIF('Priority Rules'!$C$2:$C$9,A239)&gt;0,"P239",IF(AND(OR(ISNUMBER(SEARCH("Varadero",C239)),ISNUMBER(SEARCH("Cayo Coco",C239)),ISNUMBER(SEARCH("Cayo Santa María",C239)),ISNUMBER(SEARCH("Cayo Santa Maria",C239)),ISNUMBER(SEARCH("Cayo Guillermo",C239)),ISNUMBER(SEARCH("Cayo Las Brujas",C239)),ISNUMBER(SEARCH("Cayo Ensenachos",C239)),ISNUMBER(SEARCH("Holguín",C239)),ISNUMBER(SEARCH("Holguin",C239)),ISNUMBER(SEARCH("Havana",C239)),ISNUMBER(SEARCH("Old Havana",C239)),ISNUMBER(SEARCH("Vedado",C239)),ISNUMBER(SEARCH("Miramar",C239))),NOT(ISNUMBER(SEARCH("historical",F239)))),"P239",IF(OR(ISNUMBER(SEARCH("historical",F239)),H239="Low",ISNUMBER(SEARCH("to verify",F239)),ISNUMBER(SEARCH("requires verification",F239))),"Backlog","P240")))))</f>
        <v/>
      </c>
    </row>
    <row r="240" ht="15.75" customHeight="1">
      <c r="H240" s="13"/>
      <c r="L240" s="13" t="str">
        <f>IF(A240="","",IF(OR(COUNTIF('Priority Rules'!$A$2:$A$24,A240)&gt;0,COUNTIF('Priority Rules'!$B$2:$B$8,B240)&gt;0),"P239",IF(COUNTIF('Priority Rules'!$C$2:$C$9,A240)&gt;0,"P240",IF(AND(OR(ISNUMBER(SEARCH("Varadero",C240)),ISNUMBER(SEARCH("Cayo Coco",C240)),ISNUMBER(SEARCH("Cayo Santa María",C240)),ISNUMBER(SEARCH("Cayo Santa Maria",C240)),ISNUMBER(SEARCH("Cayo Guillermo",C240)),ISNUMBER(SEARCH("Cayo Las Brujas",C240)),ISNUMBER(SEARCH("Cayo Ensenachos",C240)),ISNUMBER(SEARCH("Holguín",C240)),ISNUMBER(SEARCH("Holguin",C240)),ISNUMBER(SEARCH("Havana",C240)),ISNUMBER(SEARCH("Old Havana",C240)),ISNUMBER(SEARCH("Vedado",C240)),ISNUMBER(SEARCH("Miramar",C240))),NOT(ISNUMBER(SEARCH("historical",F240)))),"P240",IF(OR(ISNUMBER(SEARCH("historical",F240)),H240="Low",ISNUMBER(SEARCH("to verify",F240)),ISNUMBER(SEARCH("requires verification",F240))),"Backlog","P241")))))</f>
        <v/>
      </c>
    </row>
    <row r="241" ht="15.75" customHeight="1">
      <c r="H241" s="13"/>
      <c r="L241" s="13" t="str">
        <f>IF(A241="","",IF(OR(COUNTIF('Priority Rules'!$A$2:$A$24,A241)&gt;0,COUNTIF('Priority Rules'!$B$2:$B$8,B241)&gt;0),"P240",IF(COUNTIF('Priority Rules'!$C$2:$C$9,A241)&gt;0,"P241",IF(AND(OR(ISNUMBER(SEARCH("Varadero",C241)),ISNUMBER(SEARCH("Cayo Coco",C241)),ISNUMBER(SEARCH("Cayo Santa María",C241)),ISNUMBER(SEARCH("Cayo Santa Maria",C241)),ISNUMBER(SEARCH("Cayo Guillermo",C241)),ISNUMBER(SEARCH("Cayo Las Brujas",C241)),ISNUMBER(SEARCH("Cayo Ensenachos",C241)),ISNUMBER(SEARCH("Holguín",C241)),ISNUMBER(SEARCH("Holguin",C241)),ISNUMBER(SEARCH("Havana",C241)),ISNUMBER(SEARCH("Old Havana",C241)),ISNUMBER(SEARCH("Vedado",C241)),ISNUMBER(SEARCH("Miramar",C241))),NOT(ISNUMBER(SEARCH("historical",F241)))),"P241",IF(OR(ISNUMBER(SEARCH("historical",F241)),H241="Low",ISNUMBER(SEARCH("to verify",F241)),ISNUMBER(SEARCH("requires verification",F241))),"Backlog","P242")))))</f>
        <v/>
      </c>
    </row>
    <row r="242" ht="15.75" customHeight="1">
      <c r="H242" s="13"/>
      <c r="L242" s="13" t="str">
        <f>IF(A242="","",IF(OR(COUNTIF('Priority Rules'!$A$2:$A$24,A242)&gt;0,COUNTIF('Priority Rules'!$B$2:$B$8,B242)&gt;0),"P241",IF(COUNTIF('Priority Rules'!$C$2:$C$9,A242)&gt;0,"P242",IF(AND(OR(ISNUMBER(SEARCH("Varadero",C242)),ISNUMBER(SEARCH("Cayo Coco",C242)),ISNUMBER(SEARCH("Cayo Santa María",C242)),ISNUMBER(SEARCH("Cayo Santa Maria",C242)),ISNUMBER(SEARCH("Cayo Guillermo",C242)),ISNUMBER(SEARCH("Cayo Las Brujas",C242)),ISNUMBER(SEARCH("Cayo Ensenachos",C242)),ISNUMBER(SEARCH("Holguín",C242)),ISNUMBER(SEARCH("Holguin",C242)),ISNUMBER(SEARCH("Havana",C242)),ISNUMBER(SEARCH("Old Havana",C242)),ISNUMBER(SEARCH("Vedado",C242)),ISNUMBER(SEARCH("Miramar",C242))),NOT(ISNUMBER(SEARCH("historical",F242)))),"P242",IF(OR(ISNUMBER(SEARCH("historical",F242)),H242="Low",ISNUMBER(SEARCH("to verify",F242)),ISNUMBER(SEARCH("requires verification",F242))),"Backlog","P243")))))</f>
        <v/>
      </c>
    </row>
    <row r="243" ht="15.75" customHeight="1">
      <c r="H243" s="13"/>
      <c r="L243" s="13" t="str">
        <f>IF(A243="","",IF(OR(COUNTIF('Priority Rules'!$A$2:$A$24,A243)&gt;0,COUNTIF('Priority Rules'!$B$2:$B$8,B243)&gt;0),"P242",IF(COUNTIF('Priority Rules'!$C$2:$C$9,A243)&gt;0,"P243",IF(AND(OR(ISNUMBER(SEARCH("Varadero",C243)),ISNUMBER(SEARCH("Cayo Coco",C243)),ISNUMBER(SEARCH("Cayo Santa María",C243)),ISNUMBER(SEARCH("Cayo Santa Maria",C243)),ISNUMBER(SEARCH("Cayo Guillermo",C243)),ISNUMBER(SEARCH("Cayo Las Brujas",C243)),ISNUMBER(SEARCH("Cayo Ensenachos",C243)),ISNUMBER(SEARCH("Holguín",C243)),ISNUMBER(SEARCH("Holguin",C243)),ISNUMBER(SEARCH("Havana",C243)),ISNUMBER(SEARCH("Old Havana",C243)),ISNUMBER(SEARCH("Vedado",C243)),ISNUMBER(SEARCH("Miramar",C243))),NOT(ISNUMBER(SEARCH("historical",F243)))),"P243",IF(OR(ISNUMBER(SEARCH("historical",F243)),H243="Low",ISNUMBER(SEARCH("to verify",F243)),ISNUMBER(SEARCH("requires verification",F243))),"Backlog","P244")))))</f>
        <v/>
      </c>
    </row>
    <row r="244" ht="15.75" customHeight="1">
      <c r="H244" s="13"/>
      <c r="L244" s="13" t="str">
        <f>IF(A244="","",IF(OR(COUNTIF('Priority Rules'!$A$2:$A$24,A244)&gt;0,COUNTIF('Priority Rules'!$B$2:$B$8,B244)&gt;0),"P243",IF(COUNTIF('Priority Rules'!$C$2:$C$9,A244)&gt;0,"P244",IF(AND(OR(ISNUMBER(SEARCH("Varadero",C244)),ISNUMBER(SEARCH("Cayo Coco",C244)),ISNUMBER(SEARCH("Cayo Santa María",C244)),ISNUMBER(SEARCH("Cayo Santa Maria",C244)),ISNUMBER(SEARCH("Cayo Guillermo",C244)),ISNUMBER(SEARCH("Cayo Las Brujas",C244)),ISNUMBER(SEARCH("Cayo Ensenachos",C244)),ISNUMBER(SEARCH("Holguín",C244)),ISNUMBER(SEARCH("Holguin",C244)),ISNUMBER(SEARCH("Havana",C244)),ISNUMBER(SEARCH("Old Havana",C244)),ISNUMBER(SEARCH("Vedado",C244)),ISNUMBER(SEARCH("Miramar",C244))),NOT(ISNUMBER(SEARCH("historical",F244)))),"P244",IF(OR(ISNUMBER(SEARCH("historical",F244)),H244="Low",ISNUMBER(SEARCH("to verify",F244)),ISNUMBER(SEARCH("requires verification",F244))),"Backlog","P245")))))</f>
        <v/>
      </c>
    </row>
    <row r="245" ht="15.75" customHeight="1">
      <c r="H245" s="13"/>
      <c r="L245" s="13" t="str">
        <f>IF(A245="","",IF(OR(COUNTIF('Priority Rules'!$A$2:$A$24,A245)&gt;0,COUNTIF('Priority Rules'!$B$2:$B$8,B245)&gt;0),"P244",IF(COUNTIF('Priority Rules'!$C$2:$C$9,A245)&gt;0,"P245",IF(AND(OR(ISNUMBER(SEARCH("Varadero",C245)),ISNUMBER(SEARCH("Cayo Coco",C245)),ISNUMBER(SEARCH("Cayo Santa María",C245)),ISNUMBER(SEARCH("Cayo Santa Maria",C245)),ISNUMBER(SEARCH("Cayo Guillermo",C245)),ISNUMBER(SEARCH("Cayo Las Brujas",C245)),ISNUMBER(SEARCH("Cayo Ensenachos",C245)),ISNUMBER(SEARCH("Holguín",C245)),ISNUMBER(SEARCH("Holguin",C245)),ISNUMBER(SEARCH("Havana",C245)),ISNUMBER(SEARCH("Old Havana",C245)),ISNUMBER(SEARCH("Vedado",C245)),ISNUMBER(SEARCH("Miramar",C245))),NOT(ISNUMBER(SEARCH("historical",F245)))),"P245",IF(OR(ISNUMBER(SEARCH("historical",F245)),H245="Low",ISNUMBER(SEARCH("to verify",F245)),ISNUMBER(SEARCH("requires verification",F245))),"Backlog","P246")))))</f>
        <v/>
      </c>
    </row>
    <row r="246" ht="15.75" customHeight="1">
      <c r="H246" s="13"/>
      <c r="L246" s="13" t="str">
        <f>IF(A246="","",IF(OR(COUNTIF('Priority Rules'!$A$2:$A$24,A246)&gt;0,COUNTIF('Priority Rules'!$B$2:$B$8,B246)&gt;0),"P245",IF(COUNTIF('Priority Rules'!$C$2:$C$9,A246)&gt;0,"P246",IF(AND(OR(ISNUMBER(SEARCH("Varadero",C246)),ISNUMBER(SEARCH("Cayo Coco",C246)),ISNUMBER(SEARCH("Cayo Santa María",C246)),ISNUMBER(SEARCH("Cayo Santa Maria",C246)),ISNUMBER(SEARCH("Cayo Guillermo",C246)),ISNUMBER(SEARCH("Cayo Las Brujas",C246)),ISNUMBER(SEARCH("Cayo Ensenachos",C246)),ISNUMBER(SEARCH("Holguín",C246)),ISNUMBER(SEARCH("Holguin",C246)),ISNUMBER(SEARCH("Havana",C246)),ISNUMBER(SEARCH("Old Havana",C246)),ISNUMBER(SEARCH("Vedado",C246)),ISNUMBER(SEARCH("Miramar",C246))),NOT(ISNUMBER(SEARCH("historical",F246)))),"P246",IF(OR(ISNUMBER(SEARCH("historical",F246)),H246="Low",ISNUMBER(SEARCH("to verify",F246)),ISNUMBER(SEARCH("requires verification",F246))),"Backlog","P247")))))</f>
        <v/>
      </c>
    </row>
    <row r="247" ht="15.75" customHeight="1">
      <c r="H247" s="13"/>
      <c r="L247" s="13" t="str">
        <f>IF(A247="","",IF(OR(COUNTIF('Priority Rules'!$A$2:$A$24,A247)&gt;0,COUNTIF('Priority Rules'!$B$2:$B$8,B247)&gt;0),"P246",IF(COUNTIF('Priority Rules'!$C$2:$C$9,A247)&gt;0,"P247",IF(AND(OR(ISNUMBER(SEARCH("Varadero",C247)),ISNUMBER(SEARCH("Cayo Coco",C247)),ISNUMBER(SEARCH("Cayo Santa María",C247)),ISNUMBER(SEARCH("Cayo Santa Maria",C247)),ISNUMBER(SEARCH("Cayo Guillermo",C247)),ISNUMBER(SEARCH("Cayo Las Brujas",C247)),ISNUMBER(SEARCH("Cayo Ensenachos",C247)),ISNUMBER(SEARCH("Holguín",C247)),ISNUMBER(SEARCH("Holguin",C247)),ISNUMBER(SEARCH("Havana",C247)),ISNUMBER(SEARCH("Old Havana",C247)),ISNUMBER(SEARCH("Vedado",C247)),ISNUMBER(SEARCH("Miramar",C247))),NOT(ISNUMBER(SEARCH("historical",F247)))),"P247",IF(OR(ISNUMBER(SEARCH("historical",F247)),H247="Low",ISNUMBER(SEARCH("to verify",F247)),ISNUMBER(SEARCH("requires verification",F247))),"Backlog","P248")))))</f>
        <v/>
      </c>
    </row>
    <row r="248" ht="15.75" customHeight="1">
      <c r="H248" s="13"/>
      <c r="L248" s="13" t="str">
        <f>IF(A248="","",IF(OR(COUNTIF('Priority Rules'!$A$2:$A$24,A248)&gt;0,COUNTIF('Priority Rules'!$B$2:$B$8,B248)&gt;0),"P247",IF(COUNTIF('Priority Rules'!$C$2:$C$9,A248)&gt;0,"P248",IF(AND(OR(ISNUMBER(SEARCH("Varadero",C248)),ISNUMBER(SEARCH("Cayo Coco",C248)),ISNUMBER(SEARCH("Cayo Santa María",C248)),ISNUMBER(SEARCH("Cayo Santa Maria",C248)),ISNUMBER(SEARCH("Cayo Guillermo",C248)),ISNUMBER(SEARCH("Cayo Las Brujas",C248)),ISNUMBER(SEARCH("Cayo Ensenachos",C248)),ISNUMBER(SEARCH("Holguín",C248)),ISNUMBER(SEARCH("Holguin",C248)),ISNUMBER(SEARCH("Havana",C248)),ISNUMBER(SEARCH("Old Havana",C248)),ISNUMBER(SEARCH("Vedado",C248)),ISNUMBER(SEARCH("Miramar",C248))),NOT(ISNUMBER(SEARCH("historical",F248)))),"P248",IF(OR(ISNUMBER(SEARCH("historical",F248)),H248="Low",ISNUMBER(SEARCH("to verify",F248)),ISNUMBER(SEARCH("requires verification",F248))),"Backlog","P249")))))</f>
        <v/>
      </c>
    </row>
    <row r="249" ht="15.75" customHeight="1">
      <c r="H249" s="13"/>
      <c r="L249" s="13" t="str">
        <f>IF(A249="","",IF(OR(COUNTIF('Priority Rules'!$A$2:$A$24,A249)&gt;0,COUNTIF('Priority Rules'!$B$2:$B$8,B249)&gt;0),"P248",IF(COUNTIF('Priority Rules'!$C$2:$C$9,A249)&gt;0,"P249",IF(AND(OR(ISNUMBER(SEARCH("Varadero",C249)),ISNUMBER(SEARCH("Cayo Coco",C249)),ISNUMBER(SEARCH("Cayo Santa María",C249)),ISNUMBER(SEARCH("Cayo Santa Maria",C249)),ISNUMBER(SEARCH("Cayo Guillermo",C249)),ISNUMBER(SEARCH("Cayo Las Brujas",C249)),ISNUMBER(SEARCH("Cayo Ensenachos",C249)),ISNUMBER(SEARCH("Holguín",C249)),ISNUMBER(SEARCH("Holguin",C249)),ISNUMBER(SEARCH("Havana",C249)),ISNUMBER(SEARCH("Old Havana",C249)),ISNUMBER(SEARCH("Vedado",C249)),ISNUMBER(SEARCH("Miramar",C249))),NOT(ISNUMBER(SEARCH("historical",F249)))),"P249",IF(OR(ISNUMBER(SEARCH("historical",F249)),H249="Low",ISNUMBER(SEARCH("to verify",F249)),ISNUMBER(SEARCH("requires verification",F249))),"Backlog","P250")))))</f>
        <v/>
      </c>
    </row>
    <row r="250" ht="15.75" customHeight="1">
      <c r="H250" s="13"/>
      <c r="L250" s="13" t="str">
        <f>IF(A250="","",IF(OR(COUNTIF('Priority Rules'!$A$2:$A$24,A250)&gt;0,COUNTIF('Priority Rules'!$B$2:$B$8,B250)&gt;0),"P249",IF(COUNTIF('Priority Rules'!$C$2:$C$9,A250)&gt;0,"P250",IF(AND(OR(ISNUMBER(SEARCH("Varadero",C250)),ISNUMBER(SEARCH("Cayo Coco",C250)),ISNUMBER(SEARCH("Cayo Santa María",C250)),ISNUMBER(SEARCH("Cayo Santa Maria",C250)),ISNUMBER(SEARCH("Cayo Guillermo",C250)),ISNUMBER(SEARCH("Cayo Las Brujas",C250)),ISNUMBER(SEARCH("Cayo Ensenachos",C250)),ISNUMBER(SEARCH("Holguín",C250)),ISNUMBER(SEARCH("Holguin",C250)),ISNUMBER(SEARCH("Havana",C250)),ISNUMBER(SEARCH("Old Havana",C250)),ISNUMBER(SEARCH("Vedado",C250)),ISNUMBER(SEARCH("Miramar",C250))),NOT(ISNUMBER(SEARCH("historical",F250)))),"P250",IF(OR(ISNUMBER(SEARCH("historical",F250)),H250="Low",ISNUMBER(SEARCH("to verify",F250)),ISNUMBER(SEARCH("requires verification",F250))),"Backlog","P251")))))</f>
        <v/>
      </c>
    </row>
    <row r="251" ht="15.75" customHeight="1">
      <c r="H251" s="13"/>
      <c r="L251" s="13" t="str">
        <f>IF(A251="","",IF(OR(COUNTIF('Priority Rules'!$A$2:$A$24,A251)&gt;0,COUNTIF('Priority Rules'!$B$2:$B$8,B251)&gt;0),"P250",IF(COUNTIF('Priority Rules'!$C$2:$C$9,A251)&gt;0,"P251",IF(AND(OR(ISNUMBER(SEARCH("Varadero",C251)),ISNUMBER(SEARCH("Cayo Coco",C251)),ISNUMBER(SEARCH("Cayo Santa María",C251)),ISNUMBER(SEARCH("Cayo Santa Maria",C251)),ISNUMBER(SEARCH("Cayo Guillermo",C251)),ISNUMBER(SEARCH("Cayo Las Brujas",C251)),ISNUMBER(SEARCH("Cayo Ensenachos",C251)),ISNUMBER(SEARCH("Holguín",C251)),ISNUMBER(SEARCH("Holguin",C251)),ISNUMBER(SEARCH("Havana",C251)),ISNUMBER(SEARCH("Old Havana",C251)),ISNUMBER(SEARCH("Vedado",C251)),ISNUMBER(SEARCH("Miramar",C251))),NOT(ISNUMBER(SEARCH("historical",F251)))),"P251",IF(OR(ISNUMBER(SEARCH("historical",F251)),H251="Low",ISNUMBER(SEARCH("to verify",F251)),ISNUMBER(SEARCH("requires verification",F251))),"Backlog","P252")))))</f>
        <v/>
      </c>
    </row>
    <row r="252" ht="15.75" customHeight="1">
      <c r="H252" s="13"/>
      <c r="L252" s="13" t="str">
        <f>IF(A252="","",IF(OR(COUNTIF('Priority Rules'!$A$2:$A$24,A252)&gt;0,COUNTIF('Priority Rules'!$B$2:$B$8,B252)&gt;0),"P251",IF(COUNTIF('Priority Rules'!$C$2:$C$9,A252)&gt;0,"P252",IF(AND(OR(ISNUMBER(SEARCH("Varadero",C252)),ISNUMBER(SEARCH("Cayo Coco",C252)),ISNUMBER(SEARCH("Cayo Santa María",C252)),ISNUMBER(SEARCH("Cayo Santa Maria",C252)),ISNUMBER(SEARCH("Cayo Guillermo",C252)),ISNUMBER(SEARCH("Cayo Las Brujas",C252)),ISNUMBER(SEARCH("Cayo Ensenachos",C252)),ISNUMBER(SEARCH("Holguín",C252)),ISNUMBER(SEARCH("Holguin",C252)),ISNUMBER(SEARCH("Havana",C252)),ISNUMBER(SEARCH("Old Havana",C252)),ISNUMBER(SEARCH("Vedado",C252)),ISNUMBER(SEARCH("Miramar",C252))),NOT(ISNUMBER(SEARCH("historical",F252)))),"P252",IF(OR(ISNUMBER(SEARCH("historical",F252)),H252="Low",ISNUMBER(SEARCH("to verify",F252)),ISNUMBER(SEARCH("requires verification",F252))),"Backlog","P253")))))</f>
        <v/>
      </c>
    </row>
    <row r="253" ht="15.75" customHeight="1">
      <c r="H253" s="13"/>
      <c r="L253" s="13" t="str">
        <f>IF(A253="","",IF(OR(COUNTIF('Priority Rules'!$A$2:$A$24,A253)&gt;0,COUNTIF('Priority Rules'!$B$2:$B$8,B253)&gt;0),"P252",IF(COUNTIF('Priority Rules'!$C$2:$C$9,A253)&gt;0,"P253",IF(AND(OR(ISNUMBER(SEARCH("Varadero",C253)),ISNUMBER(SEARCH("Cayo Coco",C253)),ISNUMBER(SEARCH("Cayo Santa María",C253)),ISNUMBER(SEARCH("Cayo Santa Maria",C253)),ISNUMBER(SEARCH("Cayo Guillermo",C253)),ISNUMBER(SEARCH("Cayo Las Brujas",C253)),ISNUMBER(SEARCH("Cayo Ensenachos",C253)),ISNUMBER(SEARCH("Holguín",C253)),ISNUMBER(SEARCH("Holguin",C253)),ISNUMBER(SEARCH("Havana",C253)),ISNUMBER(SEARCH("Old Havana",C253)),ISNUMBER(SEARCH("Vedado",C253)),ISNUMBER(SEARCH("Miramar",C253))),NOT(ISNUMBER(SEARCH("historical",F253)))),"P253",IF(OR(ISNUMBER(SEARCH("historical",F253)),H253="Low",ISNUMBER(SEARCH("to verify",F253)),ISNUMBER(SEARCH("requires verification",F253))),"Backlog","P254")))))</f>
        <v/>
      </c>
    </row>
    <row r="254" ht="15.75" customHeight="1">
      <c r="H254" s="13"/>
      <c r="L254" s="13" t="str">
        <f>IF(A254="","",IF(OR(COUNTIF('Priority Rules'!$A$2:$A$24,A254)&gt;0,COUNTIF('Priority Rules'!$B$2:$B$8,B254)&gt;0),"P253",IF(COUNTIF('Priority Rules'!$C$2:$C$9,A254)&gt;0,"P254",IF(AND(OR(ISNUMBER(SEARCH("Varadero",C254)),ISNUMBER(SEARCH("Cayo Coco",C254)),ISNUMBER(SEARCH("Cayo Santa María",C254)),ISNUMBER(SEARCH("Cayo Santa Maria",C254)),ISNUMBER(SEARCH("Cayo Guillermo",C254)),ISNUMBER(SEARCH("Cayo Las Brujas",C254)),ISNUMBER(SEARCH("Cayo Ensenachos",C254)),ISNUMBER(SEARCH("Holguín",C254)),ISNUMBER(SEARCH("Holguin",C254)),ISNUMBER(SEARCH("Havana",C254)),ISNUMBER(SEARCH("Old Havana",C254)),ISNUMBER(SEARCH("Vedado",C254)),ISNUMBER(SEARCH("Miramar",C254))),NOT(ISNUMBER(SEARCH("historical",F254)))),"P254",IF(OR(ISNUMBER(SEARCH("historical",F254)),H254="Low",ISNUMBER(SEARCH("to verify",F254)),ISNUMBER(SEARCH("requires verification",F254))),"Backlog","P255")))))</f>
        <v/>
      </c>
    </row>
    <row r="255" ht="15.75" customHeight="1">
      <c r="H255" s="13"/>
      <c r="L255" s="13" t="str">
        <f>IF(A255="","",IF(OR(COUNTIF('Priority Rules'!$A$2:$A$24,A255)&gt;0,COUNTIF('Priority Rules'!$B$2:$B$8,B255)&gt;0),"P254",IF(COUNTIF('Priority Rules'!$C$2:$C$9,A255)&gt;0,"P255",IF(AND(OR(ISNUMBER(SEARCH("Varadero",C255)),ISNUMBER(SEARCH("Cayo Coco",C255)),ISNUMBER(SEARCH("Cayo Santa María",C255)),ISNUMBER(SEARCH("Cayo Santa Maria",C255)),ISNUMBER(SEARCH("Cayo Guillermo",C255)),ISNUMBER(SEARCH("Cayo Las Brujas",C255)),ISNUMBER(SEARCH("Cayo Ensenachos",C255)),ISNUMBER(SEARCH("Holguín",C255)),ISNUMBER(SEARCH("Holguin",C255)),ISNUMBER(SEARCH("Havana",C255)),ISNUMBER(SEARCH("Old Havana",C255)),ISNUMBER(SEARCH("Vedado",C255)),ISNUMBER(SEARCH("Miramar",C255))),NOT(ISNUMBER(SEARCH("historical",F255)))),"P255",IF(OR(ISNUMBER(SEARCH("historical",F255)),H255="Low",ISNUMBER(SEARCH("to verify",F255)),ISNUMBER(SEARCH("requires verification",F255))),"Backlog","P256")))))</f>
        <v/>
      </c>
    </row>
    <row r="256" ht="15.75" customHeight="1">
      <c r="H256" s="13"/>
      <c r="L256" s="13" t="str">
        <f>IF(A256="","",IF(OR(COUNTIF('Priority Rules'!$A$2:$A$24,A256)&gt;0,COUNTIF('Priority Rules'!$B$2:$B$8,B256)&gt;0),"P255",IF(COUNTIF('Priority Rules'!$C$2:$C$9,A256)&gt;0,"P256",IF(AND(OR(ISNUMBER(SEARCH("Varadero",C256)),ISNUMBER(SEARCH("Cayo Coco",C256)),ISNUMBER(SEARCH("Cayo Santa María",C256)),ISNUMBER(SEARCH("Cayo Santa Maria",C256)),ISNUMBER(SEARCH("Cayo Guillermo",C256)),ISNUMBER(SEARCH("Cayo Las Brujas",C256)),ISNUMBER(SEARCH("Cayo Ensenachos",C256)),ISNUMBER(SEARCH("Holguín",C256)),ISNUMBER(SEARCH("Holguin",C256)),ISNUMBER(SEARCH("Havana",C256)),ISNUMBER(SEARCH("Old Havana",C256)),ISNUMBER(SEARCH("Vedado",C256)),ISNUMBER(SEARCH("Miramar",C256))),NOT(ISNUMBER(SEARCH("historical",F256)))),"P256",IF(OR(ISNUMBER(SEARCH("historical",F256)),H256="Low",ISNUMBER(SEARCH("to verify",F256)),ISNUMBER(SEARCH("requires verification",F256))),"Backlog","P257")))))</f>
        <v/>
      </c>
    </row>
    <row r="257" ht="15.75" customHeight="1">
      <c r="H257" s="13"/>
      <c r="L257" s="13" t="str">
        <f>IF(A257="","",IF(OR(COUNTIF('Priority Rules'!$A$2:$A$24,A257)&gt;0,COUNTIF('Priority Rules'!$B$2:$B$8,B257)&gt;0),"P256",IF(COUNTIF('Priority Rules'!$C$2:$C$9,A257)&gt;0,"P257",IF(AND(OR(ISNUMBER(SEARCH("Varadero",C257)),ISNUMBER(SEARCH("Cayo Coco",C257)),ISNUMBER(SEARCH("Cayo Santa María",C257)),ISNUMBER(SEARCH("Cayo Santa Maria",C257)),ISNUMBER(SEARCH("Cayo Guillermo",C257)),ISNUMBER(SEARCH("Cayo Las Brujas",C257)),ISNUMBER(SEARCH("Cayo Ensenachos",C257)),ISNUMBER(SEARCH("Holguín",C257)),ISNUMBER(SEARCH("Holguin",C257)),ISNUMBER(SEARCH("Havana",C257)),ISNUMBER(SEARCH("Old Havana",C257)),ISNUMBER(SEARCH("Vedado",C257)),ISNUMBER(SEARCH("Miramar",C257))),NOT(ISNUMBER(SEARCH("historical",F257)))),"P257",IF(OR(ISNUMBER(SEARCH("historical",F257)),H257="Low",ISNUMBER(SEARCH("to verify",F257)),ISNUMBER(SEARCH("requires verification",F257))),"Backlog","P258")))))</f>
        <v/>
      </c>
    </row>
    <row r="258" ht="15.75" customHeight="1">
      <c r="H258" s="13"/>
      <c r="L258" s="13" t="str">
        <f>IF(A258="","",IF(OR(COUNTIF('Priority Rules'!$A$2:$A$24,A258)&gt;0,COUNTIF('Priority Rules'!$B$2:$B$8,B258)&gt;0),"P257",IF(COUNTIF('Priority Rules'!$C$2:$C$9,A258)&gt;0,"P258",IF(AND(OR(ISNUMBER(SEARCH("Varadero",C258)),ISNUMBER(SEARCH("Cayo Coco",C258)),ISNUMBER(SEARCH("Cayo Santa María",C258)),ISNUMBER(SEARCH("Cayo Santa Maria",C258)),ISNUMBER(SEARCH("Cayo Guillermo",C258)),ISNUMBER(SEARCH("Cayo Las Brujas",C258)),ISNUMBER(SEARCH("Cayo Ensenachos",C258)),ISNUMBER(SEARCH("Holguín",C258)),ISNUMBER(SEARCH("Holguin",C258)),ISNUMBER(SEARCH("Havana",C258)),ISNUMBER(SEARCH("Old Havana",C258)),ISNUMBER(SEARCH("Vedado",C258)),ISNUMBER(SEARCH("Miramar",C258))),NOT(ISNUMBER(SEARCH("historical",F258)))),"P258",IF(OR(ISNUMBER(SEARCH("historical",F258)),H258="Low",ISNUMBER(SEARCH("to verify",F258)),ISNUMBER(SEARCH("requires verification",F258))),"Backlog","P259")))))</f>
        <v/>
      </c>
    </row>
    <row r="259" ht="15.75" customHeight="1">
      <c r="H259" s="13"/>
      <c r="L259" s="13" t="str">
        <f>IF(A259="","",IF(OR(COUNTIF('Priority Rules'!$A$2:$A$24,A259)&gt;0,COUNTIF('Priority Rules'!$B$2:$B$8,B259)&gt;0),"P258",IF(COUNTIF('Priority Rules'!$C$2:$C$9,A259)&gt;0,"P259",IF(AND(OR(ISNUMBER(SEARCH("Varadero",C259)),ISNUMBER(SEARCH("Cayo Coco",C259)),ISNUMBER(SEARCH("Cayo Santa María",C259)),ISNUMBER(SEARCH("Cayo Santa Maria",C259)),ISNUMBER(SEARCH("Cayo Guillermo",C259)),ISNUMBER(SEARCH("Cayo Las Brujas",C259)),ISNUMBER(SEARCH("Cayo Ensenachos",C259)),ISNUMBER(SEARCH("Holguín",C259)),ISNUMBER(SEARCH("Holguin",C259)),ISNUMBER(SEARCH("Havana",C259)),ISNUMBER(SEARCH("Old Havana",C259)),ISNUMBER(SEARCH("Vedado",C259)),ISNUMBER(SEARCH("Miramar",C259))),NOT(ISNUMBER(SEARCH("historical",F259)))),"P259",IF(OR(ISNUMBER(SEARCH("historical",F259)),H259="Low",ISNUMBER(SEARCH("to verify",F259)),ISNUMBER(SEARCH("requires verification",F259))),"Backlog","P260")))))</f>
        <v/>
      </c>
    </row>
    <row r="260" ht="15.75" customHeight="1">
      <c r="H260" s="13"/>
      <c r="L260" s="13" t="str">
        <f>IF(A260="","",IF(OR(COUNTIF('Priority Rules'!$A$2:$A$24,A260)&gt;0,COUNTIF('Priority Rules'!$B$2:$B$8,B260)&gt;0),"P259",IF(COUNTIF('Priority Rules'!$C$2:$C$9,A260)&gt;0,"P260",IF(AND(OR(ISNUMBER(SEARCH("Varadero",C260)),ISNUMBER(SEARCH("Cayo Coco",C260)),ISNUMBER(SEARCH("Cayo Santa María",C260)),ISNUMBER(SEARCH("Cayo Santa Maria",C260)),ISNUMBER(SEARCH("Cayo Guillermo",C260)),ISNUMBER(SEARCH("Cayo Las Brujas",C260)),ISNUMBER(SEARCH("Cayo Ensenachos",C260)),ISNUMBER(SEARCH("Holguín",C260)),ISNUMBER(SEARCH("Holguin",C260)),ISNUMBER(SEARCH("Havana",C260)),ISNUMBER(SEARCH("Old Havana",C260)),ISNUMBER(SEARCH("Vedado",C260)),ISNUMBER(SEARCH("Miramar",C260))),NOT(ISNUMBER(SEARCH("historical",F260)))),"P260",IF(OR(ISNUMBER(SEARCH("historical",F260)),H260="Low",ISNUMBER(SEARCH("to verify",F260)),ISNUMBER(SEARCH("requires verification",F260))),"Backlog","P261")))))</f>
        <v/>
      </c>
    </row>
    <row r="261" ht="15.75" customHeight="1">
      <c r="H261" s="13"/>
      <c r="L261" s="13" t="str">
        <f>IF(A261="","",IF(OR(COUNTIF('Priority Rules'!$A$2:$A$24,A261)&gt;0,COUNTIF('Priority Rules'!$B$2:$B$8,B261)&gt;0),"P260",IF(COUNTIF('Priority Rules'!$C$2:$C$9,A261)&gt;0,"P261",IF(AND(OR(ISNUMBER(SEARCH("Varadero",C261)),ISNUMBER(SEARCH("Cayo Coco",C261)),ISNUMBER(SEARCH("Cayo Santa María",C261)),ISNUMBER(SEARCH("Cayo Santa Maria",C261)),ISNUMBER(SEARCH("Cayo Guillermo",C261)),ISNUMBER(SEARCH("Cayo Las Brujas",C261)),ISNUMBER(SEARCH("Cayo Ensenachos",C261)),ISNUMBER(SEARCH("Holguín",C261)),ISNUMBER(SEARCH("Holguin",C261)),ISNUMBER(SEARCH("Havana",C261)),ISNUMBER(SEARCH("Old Havana",C261)),ISNUMBER(SEARCH("Vedado",C261)),ISNUMBER(SEARCH("Miramar",C261))),NOT(ISNUMBER(SEARCH("historical",F261)))),"P261",IF(OR(ISNUMBER(SEARCH("historical",F261)),H261="Low",ISNUMBER(SEARCH("to verify",F261)),ISNUMBER(SEARCH("requires verification",F261))),"Backlog","P262")))))</f>
        <v/>
      </c>
    </row>
    <row r="262" ht="15.75" customHeight="1">
      <c r="H262" s="13"/>
      <c r="L262" s="13" t="str">
        <f>IF(A262="","",IF(OR(COUNTIF('Priority Rules'!$A$2:$A$24,A262)&gt;0,COUNTIF('Priority Rules'!$B$2:$B$8,B262)&gt;0),"P261",IF(COUNTIF('Priority Rules'!$C$2:$C$9,A262)&gt;0,"P262",IF(AND(OR(ISNUMBER(SEARCH("Varadero",C262)),ISNUMBER(SEARCH("Cayo Coco",C262)),ISNUMBER(SEARCH("Cayo Santa María",C262)),ISNUMBER(SEARCH("Cayo Santa Maria",C262)),ISNUMBER(SEARCH("Cayo Guillermo",C262)),ISNUMBER(SEARCH("Cayo Las Brujas",C262)),ISNUMBER(SEARCH("Cayo Ensenachos",C262)),ISNUMBER(SEARCH("Holguín",C262)),ISNUMBER(SEARCH("Holguin",C262)),ISNUMBER(SEARCH("Havana",C262)),ISNUMBER(SEARCH("Old Havana",C262)),ISNUMBER(SEARCH("Vedado",C262)),ISNUMBER(SEARCH("Miramar",C262))),NOT(ISNUMBER(SEARCH("historical",F262)))),"P262",IF(OR(ISNUMBER(SEARCH("historical",F262)),H262="Low",ISNUMBER(SEARCH("to verify",F262)),ISNUMBER(SEARCH("requires verification",F262))),"Backlog","P263")))))</f>
        <v/>
      </c>
    </row>
    <row r="263" ht="15.75" customHeight="1">
      <c r="H263" s="13"/>
      <c r="L263" s="13" t="str">
        <f>IF(A263="","",IF(OR(COUNTIF('Priority Rules'!$A$2:$A$24,A263)&gt;0,COUNTIF('Priority Rules'!$B$2:$B$8,B263)&gt;0),"P262",IF(COUNTIF('Priority Rules'!$C$2:$C$9,A263)&gt;0,"P263",IF(AND(OR(ISNUMBER(SEARCH("Varadero",C263)),ISNUMBER(SEARCH("Cayo Coco",C263)),ISNUMBER(SEARCH("Cayo Santa María",C263)),ISNUMBER(SEARCH("Cayo Santa Maria",C263)),ISNUMBER(SEARCH("Cayo Guillermo",C263)),ISNUMBER(SEARCH("Cayo Las Brujas",C263)),ISNUMBER(SEARCH("Cayo Ensenachos",C263)),ISNUMBER(SEARCH("Holguín",C263)),ISNUMBER(SEARCH("Holguin",C263)),ISNUMBER(SEARCH("Havana",C263)),ISNUMBER(SEARCH("Old Havana",C263)),ISNUMBER(SEARCH("Vedado",C263)),ISNUMBER(SEARCH("Miramar",C263))),NOT(ISNUMBER(SEARCH("historical",F263)))),"P263",IF(OR(ISNUMBER(SEARCH("historical",F263)),H263="Low",ISNUMBER(SEARCH("to verify",F263)),ISNUMBER(SEARCH("requires verification",F263))),"Backlog","P264")))))</f>
        <v/>
      </c>
    </row>
    <row r="264" ht="15.75" customHeight="1">
      <c r="H264" s="13"/>
      <c r="L264" s="13" t="str">
        <f>IF(A264="","",IF(OR(COUNTIF('Priority Rules'!$A$2:$A$24,A264)&gt;0,COUNTIF('Priority Rules'!$B$2:$B$8,B264)&gt;0),"P263",IF(COUNTIF('Priority Rules'!$C$2:$C$9,A264)&gt;0,"P264",IF(AND(OR(ISNUMBER(SEARCH("Varadero",C264)),ISNUMBER(SEARCH("Cayo Coco",C264)),ISNUMBER(SEARCH("Cayo Santa María",C264)),ISNUMBER(SEARCH("Cayo Santa Maria",C264)),ISNUMBER(SEARCH("Cayo Guillermo",C264)),ISNUMBER(SEARCH("Cayo Las Brujas",C264)),ISNUMBER(SEARCH("Cayo Ensenachos",C264)),ISNUMBER(SEARCH("Holguín",C264)),ISNUMBER(SEARCH("Holguin",C264)),ISNUMBER(SEARCH("Havana",C264)),ISNUMBER(SEARCH("Old Havana",C264)),ISNUMBER(SEARCH("Vedado",C264)),ISNUMBER(SEARCH("Miramar",C264))),NOT(ISNUMBER(SEARCH("historical",F264)))),"P264",IF(OR(ISNUMBER(SEARCH("historical",F264)),H264="Low",ISNUMBER(SEARCH("to verify",F264)),ISNUMBER(SEARCH("requires verification",F264))),"Backlog","P265")))))</f>
        <v/>
      </c>
    </row>
    <row r="265" ht="15.75" customHeight="1">
      <c r="H265" s="13"/>
      <c r="L265" s="13" t="str">
        <f>IF(A265="","",IF(OR(COUNTIF('Priority Rules'!$A$2:$A$24,A265)&gt;0,COUNTIF('Priority Rules'!$B$2:$B$8,B265)&gt;0),"P264",IF(COUNTIF('Priority Rules'!$C$2:$C$9,A265)&gt;0,"P265",IF(AND(OR(ISNUMBER(SEARCH("Varadero",C265)),ISNUMBER(SEARCH("Cayo Coco",C265)),ISNUMBER(SEARCH("Cayo Santa María",C265)),ISNUMBER(SEARCH("Cayo Santa Maria",C265)),ISNUMBER(SEARCH("Cayo Guillermo",C265)),ISNUMBER(SEARCH("Cayo Las Brujas",C265)),ISNUMBER(SEARCH("Cayo Ensenachos",C265)),ISNUMBER(SEARCH("Holguín",C265)),ISNUMBER(SEARCH("Holguin",C265)),ISNUMBER(SEARCH("Havana",C265)),ISNUMBER(SEARCH("Old Havana",C265)),ISNUMBER(SEARCH("Vedado",C265)),ISNUMBER(SEARCH("Miramar",C265))),NOT(ISNUMBER(SEARCH("historical",F265)))),"P265",IF(OR(ISNUMBER(SEARCH("historical",F265)),H265="Low",ISNUMBER(SEARCH("to verify",F265)),ISNUMBER(SEARCH("requires verification",F265))),"Backlog","P266")))))</f>
        <v/>
      </c>
    </row>
    <row r="266" ht="15.75" customHeight="1">
      <c r="H266" s="13"/>
      <c r="L266" s="13" t="str">
        <f>IF(A266="","",IF(OR(COUNTIF('Priority Rules'!$A$2:$A$24,A266)&gt;0,COUNTIF('Priority Rules'!$B$2:$B$8,B266)&gt;0),"P265",IF(COUNTIF('Priority Rules'!$C$2:$C$9,A266)&gt;0,"P266",IF(AND(OR(ISNUMBER(SEARCH("Varadero",C266)),ISNUMBER(SEARCH("Cayo Coco",C266)),ISNUMBER(SEARCH("Cayo Santa María",C266)),ISNUMBER(SEARCH("Cayo Santa Maria",C266)),ISNUMBER(SEARCH("Cayo Guillermo",C266)),ISNUMBER(SEARCH("Cayo Las Brujas",C266)),ISNUMBER(SEARCH("Cayo Ensenachos",C266)),ISNUMBER(SEARCH("Holguín",C266)),ISNUMBER(SEARCH("Holguin",C266)),ISNUMBER(SEARCH("Havana",C266)),ISNUMBER(SEARCH("Old Havana",C266)),ISNUMBER(SEARCH("Vedado",C266)),ISNUMBER(SEARCH("Miramar",C266))),NOT(ISNUMBER(SEARCH("historical",F266)))),"P266",IF(OR(ISNUMBER(SEARCH("historical",F266)),H266="Low",ISNUMBER(SEARCH("to verify",F266)),ISNUMBER(SEARCH("requires verification",F266))),"Backlog","P267")))))</f>
        <v/>
      </c>
    </row>
    <row r="267" ht="15.75" customHeight="1">
      <c r="H267" s="13"/>
      <c r="L267" s="13" t="str">
        <f>IF(A267="","",IF(OR(COUNTIF('Priority Rules'!$A$2:$A$24,A267)&gt;0,COUNTIF('Priority Rules'!$B$2:$B$8,B267)&gt;0),"P266",IF(COUNTIF('Priority Rules'!$C$2:$C$9,A267)&gt;0,"P267",IF(AND(OR(ISNUMBER(SEARCH("Varadero",C267)),ISNUMBER(SEARCH("Cayo Coco",C267)),ISNUMBER(SEARCH("Cayo Santa María",C267)),ISNUMBER(SEARCH("Cayo Santa Maria",C267)),ISNUMBER(SEARCH("Cayo Guillermo",C267)),ISNUMBER(SEARCH("Cayo Las Brujas",C267)),ISNUMBER(SEARCH("Cayo Ensenachos",C267)),ISNUMBER(SEARCH("Holguín",C267)),ISNUMBER(SEARCH("Holguin",C267)),ISNUMBER(SEARCH("Havana",C267)),ISNUMBER(SEARCH("Old Havana",C267)),ISNUMBER(SEARCH("Vedado",C267)),ISNUMBER(SEARCH("Miramar",C267))),NOT(ISNUMBER(SEARCH("historical",F267)))),"P267",IF(OR(ISNUMBER(SEARCH("historical",F267)),H267="Low",ISNUMBER(SEARCH("to verify",F267)),ISNUMBER(SEARCH("requires verification",F267))),"Backlog","P268")))))</f>
        <v/>
      </c>
    </row>
    <row r="268" ht="15.75" customHeight="1">
      <c r="H268" s="13"/>
      <c r="L268" s="13" t="str">
        <f>IF(A268="","",IF(OR(COUNTIF('Priority Rules'!$A$2:$A$24,A268)&gt;0,COUNTIF('Priority Rules'!$B$2:$B$8,B268)&gt;0),"P267",IF(COUNTIF('Priority Rules'!$C$2:$C$9,A268)&gt;0,"P268",IF(AND(OR(ISNUMBER(SEARCH("Varadero",C268)),ISNUMBER(SEARCH("Cayo Coco",C268)),ISNUMBER(SEARCH("Cayo Santa María",C268)),ISNUMBER(SEARCH("Cayo Santa Maria",C268)),ISNUMBER(SEARCH("Cayo Guillermo",C268)),ISNUMBER(SEARCH("Cayo Las Brujas",C268)),ISNUMBER(SEARCH("Cayo Ensenachos",C268)),ISNUMBER(SEARCH("Holguín",C268)),ISNUMBER(SEARCH("Holguin",C268)),ISNUMBER(SEARCH("Havana",C268)),ISNUMBER(SEARCH("Old Havana",C268)),ISNUMBER(SEARCH("Vedado",C268)),ISNUMBER(SEARCH("Miramar",C268))),NOT(ISNUMBER(SEARCH("historical",F268)))),"P268",IF(OR(ISNUMBER(SEARCH("historical",F268)),H268="Low",ISNUMBER(SEARCH("to verify",F268)),ISNUMBER(SEARCH("requires verification",F268))),"Backlog","P269")))))</f>
        <v/>
      </c>
    </row>
    <row r="269" ht="15.75" customHeight="1">
      <c r="H269" s="13"/>
      <c r="L269" s="13" t="str">
        <f>IF(A269="","",IF(OR(COUNTIF('Priority Rules'!$A$2:$A$24,A269)&gt;0,COUNTIF('Priority Rules'!$B$2:$B$8,B269)&gt;0),"P268",IF(COUNTIF('Priority Rules'!$C$2:$C$9,A269)&gt;0,"P269",IF(AND(OR(ISNUMBER(SEARCH("Varadero",C269)),ISNUMBER(SEARCH("Cayo Coco",C269)),ISNUMBER(SEARCH("Cayo Santa María",C269)),ISNUMBER(SEARCH("Cayo Santa Maria",C269)),ISNUMBER(SEARCH("Cayo Guillermo",C269)),ISNUMBER(SEARCH("Cayo Las Brujas",C269)),ISNUMBER(SEARCH("Cayo Ensenachos",C269)),ISNUMBER(SEARCH("Holguín",C269)),ISNUMBER(SEARCH("Holguin",C269)),ISNUMBER(SEARCH("Havana",C269)),ISNUMBER(SEARCH("Old Havana",C269)),ISNUMBER(SEARCH("Vedado",C269)),ISNUMBER(SEARCH("Miramar",C269))),NOT(ISNUMBER(SEARCH("historical",F269)))),"P269",IF(OR(ISNUMBER(SEARCH("historical",F269)),H269="Low",ISNUMBER(SEARCH("to verify",F269)),ISNUMBER(SEARCH("requires verification",F269))),"Backlog","P270")))))</f>
        <v/>
      </c>
    </row>
    <row r="270" ht="15.75" customHeight="1">
      <c r="H270" s="13"/>
      <c r="L270" s="13" t="str">
        <f>IF(A270="","",IF(OR(COUNTIF('Priority Rules'!$A$2:$A$24,A270)&gt;0,COUNTIF('Priority Rules'!$B$2:$B$8,B270)&gt;0),"P269",IF(COUNTIF('Priority Rules'!$C$2:$C$9,A270)&gt;0,"P270",IF(AND(OR(ISNUMBER(SEARCH("Varadero",C270)),ISNUMBER(SEARCH("Cayo Coco",C270)),ISNUMBER(SEARCH("Cayo Santa María",C270)),ISNUMBER(SEARCH("Cayo Santa Maria",C270)),ISNUMBER(SEARCH("Cayo Guillermo",C270)),ISNUMBER(SEARCH("Cayo Las Brujas",C270)),ISNUMBER(SEARCH("Cayo Ensenachos",C270)),ISNUMBER(SEARCH("Holguín",C270)),ISNUMBER(SEARCH("Holguin",C270)),ISNUMBER(SEARCH("Havana",C270)),ISNUMBER(SEARCH("Old Havana",C270)),ISNUMBER(SEARCH("Vedado",C270)),ISNUMBER(SEARCH("Miramar",C270))),NOT(ISNUMBER(SEARCH("historical",F270)))),"P270",IF(OR(ISNUMBER(SEARCH("historical",F270)),H270="Low",ISNUMBER(SEARCH("to verify",F270)),ISNUMBER(SEARCH("requires verification",F270))),"Backlog","P271")))))</f>
        <v/>
      </c>
    </row>
    <row r="271" ht="15.75" customHeight="1">
      <c r="H271" s="13"/>
      <c r="L271" s="13" t="str">
        <f>IF(A271="","",IF(OR(COUNTIF('Priority Rules'!$A$2:$A$24,A271)&gt;0,COUNTIF('Priority Rules'!$B$2:$B$8,B271)&gt;0),"P270",IF(COUNTIF('Priority Rules'!$C$2:$C$9,A271)&gt;0,"P271",IF(AND(OR(ISNUMBER(SEARCH("Varadero",C271)),ISNUMBER(SEARCH("Cayo Coco",C271)),ISNUMBER(SEARCH("Cayo Santa María",C271)),ISNUMBER(SEARCH("Cayo Santa Maria",C271)),ISNUMBER(SEARCH("Cayo Guillermo",C271)),ISNUMBER(SEARCH("Cayo Las Brujas",C271)),ISNUMBER(SEARCH("Cayo Ensenachos",C271)),ISNUMBER(SEARCH("Holguín",C271)),ISNUMBER(SEARCH("Holguin",C271)),ISNUMBER(SEARCH("Havana",C271)),ISNUMBER(SEARCH("Old Havana",C271)),ISNUMBER(SEARCH("Vedado",C271)),ISNUMBER(SEARCH("Miramar",C271))),NOT(ISNUMBER(SEARCH("historical",F271)))),"P271",IF(OR(ISNUMBER(SEARCH("historical",F271)),H271="Low",ISNUMBER(SEARCH("to verify",F271)),ISNUMBER(SEARCH("requires verification",F271))),"Backlog","P272")))))</f>
        <v/>
      </c>
    </row>
    <row r="272" ht="15.75" customHeight="1">
      <c r="H272" s="13"/>
      <c r="L272" s="13" t="str">
        <f>IF(A272="","",IF(OR(COUNTIF('Priority Rules'!$A$2:$A$24,A272)&gt;0,COUNTIF('Priority Rules'!$B$2:$B$8,B272)&gt;0),"P271",IF(COUNTIF('Priority Rules'!$C$2:$C$9,A272)&gt;0,"P272",IF(AND(OR(ISNUMBER(SEARCH("Varadero",C272)),ISNUMBER(SEARCH("Cayo Coco",C272)),ISNUMBER(SEARCH("Cayo Santa María",C272)),ISNUMBER(SEARCH("Cayo Santa Maria",C272)),ISNUMBER(SEARCH("Cayo Guillermo",C272)),ISNUMBER(SEARCH("Cayo Las Brujas",C272)),ISNUMBER(SEARCH("Cayo Ensenachos",C272)),ISNUMBER(SEARCH("Holguín",C272)),ISNUMBER(SEARCH("Holguin",C272)),ISNUMBER(SEARCH("Havana",C272)),ISNUMBER(SEARCH("Old Havana",C272)),ISNUMBER(SEARCH("Vedado",C272)),ISNUMBER(SEARCH("Miramar",C272))),NOT(ISNUMBER(SEARCH("historical",F272)))),"P272",IF(OR(ISNUMBER(SEARCH("historical",F272)),H272="Low",ISNUMBER(SEARCH("to verify",F272)),ISNUMBER(SEARCH("requires verification",F272))),"Backlog","P273")))))</f>
        <v/>
      </c>
    </row>
    <row r="273" ht="15.75" customHeight="1">
      <c r="H273" s="13"/>
      <c r="L273" s="13" t="str">
        <f>IF(A273="","",IF(OR(COUNTIF('Priority Rules'!$A$2:$A$24,A273)&gt;0,COUNTIF('Priority Rules'!$B$2:$B$8,B273)&gt;0),"P272",IF(COUNTIF('Priority Rules'!$C$2:$C$9,A273)&gt;0,"P273",IF(AND(OR(ISNUMBER(SEARCH("Varadero",C273)),ISNUMBER(SEARCH("Cayo Coco",C273)),ISNUMBER(SEARCH("Cayo Santa María",C273)),ISNUMBER(SEARCH("Cayo Santa Maria",C273)),ISNUMBER(SEARCH("Cayo Guillermo",C273)),ISNUMBER(SEARCH("Cayo Las Brujas",C273)),ISNUMBER(SEARCH("Cayo Ensenachos",C273)),ISNUMBER(SEARCH("Holguín",C273)),ISNUMBER(SEARCH("Holguin",C273)),ISNUMBER(SEARCH("Havana",C273)),ISNUMBER(SEARCH("Old Havana",C273)),ISNUMBER(SEARCH("Vedado",C273)),ISNUMBER(SEARCH("Miramar",C273))),NOT(ISNUMBER(SEARCH("historical",F273)))),"P273",IF(OR(ISNUMBER(SEARCH("historical",F273)),H273="Low",ISNUMBER(SEARCH("to verify",F273)),ISNUMBER(SEARCH("requires verification",F273))),"Backlog","P274")))))</f>
        <v/>
      </c>
    </row>
    <row r="274" ht="15.75" customHeight="1">
      <c r="H274" s="13"/>
      <c r="L274" s="13" t="str">
        <f>IF(A274="","",IF(OR(COUNTIF('Priority Rules'!$A$2:$A$24,A274)&gt;0,COUNTIF('Priority Rules'!$B$2:$B$8,B274)&gt;0),"P273",IF(COUNTIF('Priority Rules'!$C$2:$C$9,A274)&gt;0,"P274",IF(AND(OR(ISNUMBER(SEARCH("Varadero",C274)),ISNUMBER(SEARCH("Cayo Coco",C274)),ISNUMBER(SEARCH("Cayo Santa María",C274)),ISNUMBER(SEARCH("Cayo Santa Maria",C274)),ISNUMBER(SEARCH("Cayo Guillermo",C274)),ISNUMBER(SEARCH("Cayo Las Brujas",C274)),ISNUMBER(SEARCH("Cayo Ensenachos",C274)),ISNUMBER(SEARCH("Holguín",C274)),ISNUMBER(SEARCH("Holguin",C274)),ISNUMBER(SEARCH("Havana",C274)),ISNUMBER(SEARCH("Old Havana",C274)),ISNUMBER(SEARCH("Vedado",C274)),ISNUMBER(SEARCH("Miramar",C274))),NOT(ISNUMBER(SEARCH("historical",F274)))),"P274",IF(OR(ISNUMBER(SEARCH("historical",F274)),H274="Low",ISNUMBER(SEARCH("to verify",F274)),ISNUMBER(SEARCH("requires verification",F274))),"Backlog","P275")))))</f>
        <v/>
      </c>
    </row>
    <row r="275" ht="15.75" customHeight="1">
      <c r="H275" s="13"/>
      <c r="L275" s="13" t="str">
        <f>IF(A275="","",IF(OR(COUNTIF('Priority Rules'!$A$2:$A$24,A275)&gt;0,COUNTIF('Priority Rules'!$B$2:$B$8,B275)&gt;0),"P274",IF(COUNTIF('Priority Rules'!$C$2:$C$9,A275)&gt;0,"P275",IF(AND(OR(ISNUMBER(SEARCH("Varadero",C275)),ISNUMBER(SEARCH("Cayo Coco",C275)),ISNUMBER(SEARCH("Cayo Santa María",C275)),ISNUMBER(SEARCH("Cayo Santa Maria",C275)),ISNUMBER(SEARCH("Cayo Guillermo",C275)),ISNUMBER(SEARCH("Cayo Las Brujas",C275)),ISNUMBER(SEARCH("Cayo Ensenachos",C275)),ISNUMBER(SEARCH("Holguín",C275)),ISNUMBER(SEARCH("Holguin",C275)),ISNUMBER(SEARCH("Havana",C275)),ISNUMBER(SEARCH("Old Havana",C275)),ISNUMBER(SEARCH("Vedado",C275)),ISNUMBER(SEARCH("Miramar",C275))),NOT(ISNUMBER(SEARCH("historical",F275)))),"P275",IF(OR(ISNUMBER(SEARCH("historical",F275)),H275="Low",ISNUMBER(SEARCH("to verify",F275)),ISNUMBER(SEARCH("requires verification",F275))),"Backlog","P276")))))</f>
        <v/>
      </c>
    </row>
    <row r="276" ht="15.75" customHeight="1">
      <c r="H276" s="13"/>
      <c r="L276" s="13" t="str">
        <f>IF(A276="","",IF(OR(COUNTIF('Priority Rules'!$A$2:$A$24,A276)&gt;0,COUNTIF('Priority Rules'!$B$2:$B$8,B276)&gt;0),"P275",IF(COUNTIF('Priority Rules'!$C$2:$C$9,A276)&gt;0,"P276",IF(AND(OR(ISNUMBER(SEARCH("Varadero",C276)),ISNUMBER(SEARCH("Cayo Coco",C276)),ISNUMBER(SEARCH("Cayo Santa María",C276)),ISNUMBER(SEARCH("Cayo Santa Maria",C276)),ISNUMBER(SEARCH("Cayo Guillermo",C276)),ISNUMBER(SEARCH("Cayo Las Brujas",C276)),ISNUMBER(SEARCH("Cayo Ensenachos",C276)),ISNUMBER(SEARCH("Holguín",C276)),ISNUMBER(SEARCH("Holguin",C276)),ISNUMBER(SEARCH("Havana",C276)),ISNUMBER(SEARCH("Old Havana",C276)),ISNUMBER(SEARCH("Vedado",C276)),ISNUMBER(SEARCH("Miramar",C276))),NOT(ISNUMBER(SEARCH("historical",F276)))),"P276",IF(OR(ISNUMBER(SEARCH("historical",F276)),H276="Low",ISNUMBER(SEARCH("to verify",F276)),ISNUMBER(SEARCH("requires verification",F276))),"Backlog","P277")))))</f>
        <v/>
      </c>
    </row>
    <row r="277" ht="15.75" customHeight="1">
      <c r="H277" s="13"/>
      <c r="L277" s="13" t="str">
        <f>IF(A277="","",IF(OR(COUNTIF('Priority Rules'!$A$2:$A$24,A277)&gt;0,COUNTIF('Priority Rules'!$B$2:$B$8,B277)&gt;0),"P276",IF(COUNTIF('Priority Rules'!$C$2:$C$9,A277)&gt;0,"P277",IF(AND(OR(ISNUMBER(SEARCH("Varadero",C277)),ISNUMBER(SEARCH("Cayo Coco",C277)),ISNUMBER(SEARCH("Cayo Santa María",C277)),ISNUMBER(SEARCH("Cayo Santa Maria",C277)),ISNUMBER(SEARCH("Cayo Guillermo",C277)),ISNUMBER(SEARCH("Cayo Las Brujas",C277)),ISNUMBER(SEARCH("Cayo Ensenachos",C277)),ISNUMBER(SEARCH("Holguín",C277)),ISNUMBER(SEARCH("Holguin",C277)),ISNUMBER(SEARCH("Havana",C277)),ISNUMBER(SEARCH("Old Havana",C277)),ISNUMBER(SEARCH("Vedado",C277)),ISNUMBER(SEARCH("Miramar",C277))),NOT(ISNUMBER(SEARCH("historical",F277)))),"P277",IF(OR(ISNUMBER(SEARCH("historical",F277)),H277="Low",ISNUMBER(SEARCH("to verify",F277)),ISNUMBER(SEARCH("requires verification",F277))),"Backlog","P278")))))</f>
        <v/>
      </c>
    </row>
    <row r="278" ht="15.75" customHeight="1">
      <c r="H278" s="13"/>
      <c r="L278" s="13" t="str">
        <f>IF(A278="","",IF(OR(COUNTIF('Priority Rules'!$A$2:$A$24,A278)&gt;0,COUNTIF('Priority Rules'!$B$2:$B$8,B278)&gt;0),"P277",IF(COUNTIF('Priority Rules'!$C$2:$C$9,A278)&gt;0,"P278",IF(AND(OR(ISNUMBER(SEARCH("Varadero",C278)),ISNUMBER(SEARCH("Cayo Coco",C278)),ISNUMBER(SEARCH("Cayo Santa María",C278)),ISNUMBER(SEARCH("Cayo Santa Maria",C278)),ISNUMBER(SEARCH("Cayo Guillermo",C278)),ISNUMBER(SEARCH("Cayo Las Brujas",C278)),ISNUMBER(SEARCH("Cayo Ensenachos",C278)),ISNUMBER(SEARCH("Holguín",C278)),ISNUMBER(SEARCH("Holguin",C278)),ISNUMBER(SEARCH("Havana",C278)),ISNUMBER(SEARCH("Old Havana",C278)),ISNUMBER(SEARCH("Vedado",C278)),ISNUMBER(SEARCH("Miramar",C278))),NOT(ISNUMBER(SEARCH("historical",F278)))),"P278",IF(OR(ISNUMBER(SEARCH("historical",F278)),H278="Low",ISNUMBER(SEARCH("to verify",F278)),ISNUMBER(SEARCH("requires verification",F278))),"Backlog","P279")))))</f>
        <v/>
      </c>
    </row>
    <row r="279" ht="15.75" customHeight="1">
      <c r="H279" s="13"/>
      <c r="L279" s="13" t="str">
        <f>IF(A279="","",IF(OR(COUNTIF('Priority Rules'!$A$2:$A$24,A279)&gt;0,COUNTIF('Priority Rules'!$B$2:$B$8,B279)&gt;0),"P278",IF(COUNTIF('Priority Rules'!$C$2:$C$9,A279)&gt;0,"P279",IF(AND(OR(ISNUMBER(SEARCH("Varadero",C279)),ISNUMBER(SEARCH("Cayo Coco",C279)),ISNUMBER(SEARCH("Cayo Santa María",C279)),ISNUMBER(SEARCH("Cayo Santa Maria",C279)),ISNUMBER(SEARCH("Cayo Guillermo",C279)),ISNUMBER(SEARCH("Cayo Las Brujas",C279)),ISNUMBER(SEARCH("Cayo Ensenachos",C279)),ISNUMBER(SEARCH("Holguín",C279)),ISNUMBER(SEARCH("Holguin",C279)),ISNUMBER(SEARCH("Havana",C279)),ISNUMBER(SEARCH("Old Havana",C279)),ISNUMBER(SEARCH("Vedado",C279)),ISNUMBER(SEARCH("Miramar",C279))),NOT(ISNUMBER(SEARCH("historical",F279)))),"P279",IF(OR(ISNUMBER(SEARCH("historical",F279)),H279="Low",ISNUMBER(SEARCH("to verify",F279)),ISNUMBER(SEARCH("requires verification",F279))),"Backlog","P280")))))</f>
        <v/>
      </c>
    </row>
    <row r="280" ht="15.75" customHeight="1">
      <c r="H280" s="13"/>
      <c r="L280" s="13" t="str">
        <f>IF(A280="","",IF(OR(COUNTIF('Priority Rules'!$A$2:$A$24,A280)&gt;0,COUNTIF('Priority Rules'!$B$2:$B$8,B280)&gt;0),"P279",IF(COUNTIF('Priority Rules'!$C$2:$C$9,A280)&gt;0,"P280",IF(AND(OR(ISNUMBER(SEARCH("Varadero",C280)),ISNUMBER(SEARCH("Cayo Coco",C280)),ISNUMBER(SEARCH("Cayo Santa María",C280)),ISNUMBER(SEARCH("Cayo Santa Maria",C280)),ISNUMBER(SEARCH("Cayo Guillermo",C280)),ISNUMBER(SEARCH("Cayo Las Brujas",C280)),ISNUMBER(SEARCH("Cayo Ensenachos",C280)),ISNUMBER(SEARCH("Holguín",C280)),ISNUMBER(SEARCH("Holguin",C280)),ISNUMBER(SEARCH("Havana",C280)),ISNUMBER(SEARCH("Old Havana",C280)),ISNUMBER(SEARCH("Vedado",C280)),ISNUMBER(SEARCH("Miramar",C280))),NOT(ISNUMBER(SEARCH("historical",F280)))),"P280",IF(OR(ISNUMBER(SEARCH("historical",F280)),H280="Low",ISNUMBER(SEARCH("to verify",F280)),ISNUMBER(SEARCH("requires verification",F280))),"Backlog","P281")))))</f>
        <v/>
      </c>
    </row>
    <row r="281" ht="15.75" customHeight="1">
      <c r="H281" s="13"/>
      <c r="L281" s="13" t="str">
        <f>IF(A281="","",IF(OR(COUNTIF('Priority Rules'!$A$2:$A$24,A281)&gt;0,COUNTIF('Priority Rules'!$B$2:$B$8,B281)&gt;0),"P280",IF(COUNTIF('Priority Rules'!$C$2:$C$9,A281)&gt;0,"P281",IF(AND(OR(ISNUMBER(SEARCH("Varadero",C281)),ISNUMBER(SEARCH("Cayo Coco",C281)),ISNUMBER(SEARCH("Cayo Santa María",C281)),ISNUMBER(SEARCH("Cayo Santa Maria",C281)),ISNUMBER(SEARCH("Cayo Guillermo",C281)),ISNUMBER(SEARCH("Cayo Las Brujas",C281)),ISNUMBER(SEARCH("Cayo Ensenachos",C281)),ISNUMBER(SEARCH("Holguín",C281)),ISNUMBER(SEARCH("Holguin",C281)),ISNUMBER(SEARCH("Havana",C281)),ISNUMBER(SEARCH("Old Havana",C281)),ISNUMBER(SEARCH("Vedado",C281)),ISNUMBER(SEARCH("Miramar",C281))),NOT(ISNUMBER(SEARCH("historical",F281)))),"P281",IF(OR(ISNUMBER(SEARCH("historical",F281)),H281="Low",ISNUMBER(SEARCH("to verify",F281)),ISNUMBER(SEARCH("requires verification",F281))),"Backlog","P282")))))</f>
        <v/>
      </c>
    </row>
    <row r="282" ht="15.75" customHeight="1">
      <c r="H282" s="13"/>
      <c r="L282" s="13" t="str">
        <f>IF(A282="","",IF(OR(COUNTIF('Priority Rules'!$A$2:$A$24,A282)&gt;0,COUNTIF('Priority Rules'!$B$2:$B$8,B282)&gt;0),"P281",IF(COUNTIF('Priority Rules'!$C$2:$C$9,A282)&gt;0,"P282",IF(AND(OR(ISNUMBER(SEARCH("Varadero",C282)),ISNUMBER(SEARCH("Cayo Coco",C282)),ISNUMBER(SEARCH("Cayo Santa María",C282)),ISNUMBER(SEARCH("Cayo Santa Maria",C282)),ISNUMBER(SEARCH("Cayo Guillermo",C282)),ISNUMBER(SEARCH("Cayo Las Brujas",C282)),ISNUMBER(SEARCH("Cayo Ensenachos",C282)),ISNUMBER(SEARCH("Holguín",C282)),ISNUMBER(SEARCH("Holguin",C282)),ISNUMBER(SEARCH("Havana",C282)),ISNUMBER(SEARCH("Old Havana",C282)),ISNUMBER(SEARCH("Vedado",C282)),ISNUMBER(SEARCH("Miramar",C282))),NOT(ISNUMBER(SEARCH("historical",F282)))),"P282",IF(OR(ISNUMBER(SEARCH("historical",F282)),H282="Low",ISNUMBER(SEARCH("to verify",F282)),ISNUMBER(SEARCH("requires verification",F282))),"Backlog","P283")))))</f>
        <v/>
      </c>
    </row>
    <row r="283" ht="15.75" customHeight="1">
      <c r="H283" s="13"/>
      <c r="L283" s="13" t="str">
        <f>IF(A283="","",IF(OR(COUNTIF('Priority Rules'!$A$2:$A$24,A283)&gt;0,COUNTIF('Priority Rules'!$B$2:$B$8,B283)&gt;0),"P282",IF(COUNTIF('Priority Rules'!$C$2:$C$9,A283)&gt;0,"P283",IF(AND(OR(ISNUMBER(SEARCH("Varadero",C283)),ISNUMBER(SEARCH("Cayo Coco",C283)),ISNUMBER(SEARCH("Cayo Santa María",C283)),ISNUMBER(SEARCH("Cayo Santa Maria",C283)),ISNUMBER(SEARCH("Cayo Guillermo",C283)),ISNUMBER(SEARCH("Cayo Las Brujas",C283)),ISNUMBER(SEARCH("Cayo Ensenachos",C283)),ISNUMBER(SEARCH("Holguín",C283)),ISNUMBER(SEARCH("Holguin",C283)),ISNUMBER(SEARCH("Havana",C283)),ISNUMBER(SEARCH("Old Havana",C283)),ISNUMBER(SEARCH("Vedado",C283)),ISNUMBER(SEARCH("Miramar",C283))),NOT(ISNUMBER(SEARCH("historical",F283)))),"P283",IF(OR(ISNUMBER(SEARCH("historical",F283)),H283="Low",ISNUMBER(SEARCH("to verify",F283)),ISNUMBER(SEARCH("requires verification",F283))),"Backlog","P284")))))</f>
        <v/>
      </c>
    </row>
    <row r="284" ht="15.75" customHeight="1">
      <c r="H284" s="13"/>
      <c r="L284" s="13" t="str">
        <f>IF(A284="","",IF(OR(COUNTIF('Priority Rules'!$A$2:$A$24,A284)&gt;0,COUNTIF('Priority Rules'!$B$2:$B$8,B284)&gt;0),"P283",IF(COUNTIF('Priority Rules'!$C$2:$C$9,A284)&gt;0,"P284",IF(AND(OR(ISNUMBER(SEARCH("Varadero",C284)),ISNUMBER(SEARCH("Cayo Coco",C284)),ISNUMBER(SEARCH("Cayo Santa María",C284)),ISNUMBER(SEARCH("Cayo Santa Maria",C284)),ISNUMBER(SEARCH("Cayo Guillermo",C284)),ISNUMBER(SEARCH("Cayo Las Brujas",C284)),ISNUMBER(SEARCH("Cayo Ensenachos",C284)),ISNUMBER(SEARCH("Holguín",C284)),ISNUMBER(SEARCH("Holguin",C284)),ISNUMBER(SEARCH("Havana",C284)),ISNUMBER(SEARCH("Old Havana",C284)),ISNUMBER(SEARCH("Vedado",C284)),ISNUMBER(SEARCH("Miramar",C284))),NOT(ISNUMBER(SEARCH("historical",F284)))),"P284",IF(OR(ISNUMBER(SEARCH("historical",F284)),H284="Low",ISNUMBER(SEARCH("to verify",F284)),ISNUMBER(SEARCH("requires verification",F284))),"Backlog","P285")))))</f>
        <v/>
      </c>
    </row>
    <row r="285" ht="15.75" customHeight="1">
      <c r="H285" s="13"/>
      <c r="L285" s="13" t="str">
        <f>IF(A285="","",IF(OR(COUNTIF('Priority Rules'!$A$2:$A$24,A285)&gt;0,COUNTIF('Priority Rules'!$B$2:$B$8,B285)&gt;0),"P284",IF(COUNTIF('Priority Rules'!$C$2:$C$9,A285)&gt;0,"P285",IF(AND(OR(ISNUMBER(SEARCH("Varadero",C285)),ISNUMBER(SEARCH("Cayo Coco",C285)),ISNUMBER(SEARCH("Cayo Santa María",C285)),ISNUMBER(SEARCH("Cayo Santa Maria",C285)),ISNUMBER(SEARCH("Cayo Guillermo",C285)),ISNUMBER(SEARCH("Cayo Las Brujas",C285)),ISNUMBER(SEARCH("Cayo Ensenachos",C285)),ISNUMBER(SEARCH("Holguín",C285)),ISNUMBER(SEARCH("Holguin",C285)),ISNUMBER(SEARCH("Havana",C285)),ISNUMBER(SEARCH("Old Havana",C285)),ISNUMBER(SEARCH("Vedado",C285)),ISNUMBER(SEARCH("Miramar",C285))),NOT(ISNUMBER(SEARCH("historical",F285)))),"P285",IF(OR(ISNUMBER(SEARCH("historical",F285)),H285="Low",ISNUMBER(SEARCH("to verify",F285)),ISNUMBER(SEARCH("requires verification",F285))),"Backlog","P286")))))</f>
        <v/>
      </c>
    </row>
    <row r="286" ht="15.75" customHeight="1">
      <c r="H286" s="13"/>
      <c r="L286" s="13" t="str">
        <f>IF(A286="","",IF(OR(COUNTIF('Priority Rules'!$A$2:$A$24,A286)&gt;0,COUNTIF('Priority Rules'!$B$2:$B$8,B286)&gt;0),"P285",IF(COUNTIF('Priority Rules'!$C$2:$C$9,A286)&gt;0,"P286",IF(AND(OR(ISNUMBER(SEARCH("Varadero",C286)),ISNUMBER(SEARCH("Cayo Coco",C286)),ISNUMBER(SEARCH("Cayo Santa María",C286)),ISNUMBER(SEARCH("Cayo Santa Maria",C286)),ISNUMBER(SEARCH("Cayo Guillermo",C286)),ISNUMBER(SEARCH("Cayo Las Brujas",C286)),ISNUMBER(SEARCH("Cayo Ensenachos",C286)),ISNUMBER(SEARCH("Holguín",C286)),ISNUMBER(SEARCH("Holguin",C286)),ISNUMBER(SEARCH("Havana",C286)),ISNUMBER(SEARCH("Old Havana",C286)),ISNUMBER(SEARCH("Vedado",C286)),ISNUMBER(SEARCH("Miramar",C286))),NOT(ISNUMBER(SEARCH("historical",F286)))),"P286",IF(OR(ISNUMBER(SEARCH("historical",F286)),H286="Low",ISNUMBER(SEARCH("to verify",F286)),ISNUMBER(SEARCH("requires verification",F286))),"Backlog","P287")))))</f>
        <v/>
      </c>
    </row>
    <row r="287" ht="15.75" customHeight="1">
      <c r="H287" s="13"/>
      <c r="L287" s="13" t="str">
        <f>IF(A287="","",IF(OR(COUNTIF('Priority Rules'!$A$2:$A$24,A287)&gt;0,COUNTIF('Priority Rules'!$B$2:$B$8,B287)&gt;0),"P286",IF(COUNTIF('Priority Rules'!$C$2:$C$9,A287)&gt;0,"P287",IF(AND(OR(ISNUMBER(SEARCH("Varadero",C287)),ISNUMBER(SEARCH("Cayo Coco",C287)),ISNUMBER(SEARCH("Cayo Santa María",C287)),ISNUMBER(SEARCH("Cayo Santa Maria",C287)),ISNUMBER(SEARCH("Cayo Guillermo",C287)),ISNUMBER(SEARCH("Cayo Las Brujas",C287)),ISNUMBER(SEARCH("Cayo Ensenachos",C287)),ISNUMBER(SEARCH("Holguín",C287)),ISNUMBER(SEARCH("Holguin",C287)),ISNUMBER(SEARCH("Havana",C287)),ISNUMBER(SEARCH("Old Havana",C287)),ISNUMBER(SEARCH("Vedado",C287)),ISNUMBER(SEARCH("Miramar",C287))),NOT(ISNUMBER(SEARCH("historical",F287)))),"P287",IF(OR(ISNUMBER(SEARCH("historical",F287)),H287="Low",ISNUMBER(SEARCH("to verify",F287)),ISNUMBER(SEARCH("requires verification",F287))),"Backlog","P288")))))</f>
        <v/>
      </c>
    </row>
    <row r="288" ht="15.75" customHeight="1">
      <c r="H288" s="13"/>
      <c r="L288" s="13" t="str">
        <f>IF(A288="","",IF(OR(COUNTIF('Priority Rules'!$A$2:$A$24,A288)&gt;0,COUNTIF('Priority Rules'!$B$2:$B$8,B288)&gt;0),"P287",IF(COUNTIF('Priority Rules'!$C$2:$C$9,A288)&gt;0,"P288",IF(AND(OR(ISNUMBER(SEARCH("Varadero",C288)),ISNUMBER(SEARCH("Cayo Coco",C288)),ISNUMBER(SEARCH("Cayo Santa María",C288)),ISNUMBER(SEARCH("Cayo Santa Maria",C288)),ISNUMBER(SEARCH("Cayo Guillermo",C288)),ISNUMBER(SEARCH("Cayo Las Brujas",C288)),ISNUMBER(SEARCH("Cayo Ensenachos",C288)),ISNUMBER(SEARCH("Holguín",C288)),ISNUMBER(SEARCH("Holguin",C288)),ISNUMBER(SEARCH("Havana",C288)),ISNUMBER(SEARCH("Old Havana",C288)),ISNUMBER(SEARCH("Vedado",C288)),ISNUMBER(SEARCH("Miramar",C288))),NOT(ISNUMBER(SEARCH("historical",F288)))),"P288",IF(OR(ISNUMBER(SEARCH("historical",F288)),H288="Low",ISNUMBER(SEARCH("to verify",F288)),ISNUMBER(SEARCH("requires verification",F288))),"Backlog","P289")))))</f>
        <v/>
      </c>
    </row>
    <row r="289" ht="15.75" customHeight="1">
      <c r="H289" s="13"/>
      <c r="L289" s="13" t="str">
        <f>IF(A289="","",IF(OR(COUNTIF('Priority Rules'!$A$2:$A$24,A289)&gt;0,COUNTIF('Priority Rules'!$B$2:$B$8,B289)&gt;0),"P288",IF(COUNTIF('Priority Rules'!$C$2:$C$9,A289)&gt;0,"P289",IF(AND(OR(ISNUMBER(SEARCH("Varadero",C289)),ISNUMBER(SEARCH("Cayo Coco",C289)),ISNUMBER(SEARCH("Cayo Santa María",C289)),ISNUMBER(SEARCH("Cayo Santa Maria",C289)),ISNUMBER(SEARCH("Cayo Guillermo",C289)),ISNUMBER(SEARCH("Cayo Las Brujas",C289)),ISNUMBER(SEARCH("Cayo Ensenachos",C289)),ISNUMBER(SEARCH("Holguín",C289)),ISNUMBER(SEARCH("Holguin",C289)),ISNUMBER(SEARCH("Havana",C289)),ISNUMBER(SEARCH("Old Havana",C289)),ISNUMBER(SEARCH("Vedado",C289)),ISNUMBER(SEARCH("Miramar",C289))),NOT(ISNUMBER(SEARCH("historical",F289)))),"P289",IF(OR(ISNUMBER(SEARCH("historical",F289)),H289="Low",ISNUMBER(SEARCH("to verify",F289)),ISNUMBER(SEARCH("requires verification",F289))),"Backlog","P290")))))</f>
        <v/>
      </c>
    </row>
    <row r="290" ht="15.75" customHeight="1">
      <c r="H290" s="13"/>
      <c r="L290" s="13" t="str">
        <f>IF(A290="","",IF(OR(COUNTIF('Priority Rules'!$A$2:$A$24,A290)&gt;0,COUNTIF('Priority Rules'!$B$2:$B$8,B290)&gt;0),"P289",IF(COUNTIF('Priority Rules'!$C$2:$C$9,A290)&gt;0,"P290",IF(AND(OR(ISNUMBER(SEARCH("Varadero",C290)),ISNUMBER(SEARCH("Cayo Coco",C290)),ISNUMBER(SEARCH("Cayo Santa María",C290)),ISNUMBER(SEARCH("Cayo Santa Maria",C290)),ISNUMBER(SEARCH("Cayo Guillermo",C290)),ISNUMBER(SEARCH("Cayo Las Brujas",C290)),ISNUMBER(SEARCH("Cayo Ensenachos",C290)),ISNUMBER(SEARCH("Holguín",C290)),ISNUMBER(SEARCH("Holguin",C290)),ISNUMBER(SEARCH("Havana",C290)),ISNUMBER(SEARCH("Old Havana",C290)),ISNUMBER(SEARCH("Vedado",C290)),ISNUMBER(SEARCH("Miramar",C290))),NOT(ISNUMBER(SEARCH("historical",F290)))),"P290",IF(OR(ISNUMBER(SEARCH("historical",F290)),H290="Low",ISNUMBER(SEARCH("to verify",F290)),ISNUMBER(SEARCH("requires verification",F290))),"Backlog","P291")))))</f>
        <v/>
      </c>
    </row>
    <row r="291" ht="15.75" customHeight="1">
      <c r="H291" s="13"/>
      <c r="L291" s="13" t="str">
        <f>IF(A291="","",IF(OR(COUNTIF('Priority Rules'!$A$2:$A$24,A291)&gt;0,COUNTIF('Priority Rules'!$B$2:$B$8,B291)&gt;0),"P290",IF(COUNTIF('Priority Rules'!$C$2:$C$9,A291)&gt;0,"P291",IF(AND(OR(ISNUMBER(SEARCH("Varadero",C291)),ISNUMBER(SEARCH("Cayo Coco",C291)),ISNUMBER(SEARCH("Cayo Santa María",C291)),ISNUMBER(SEARCH("Cayo Santa Maria",C291)),ISNUMBER(SEARCH("Cayo Guillermo",C291)),ISNUMBER(SEARCH("Cayo Las Brujas",C291)),ISNUMBER(SEARCH("Cayo Ensenachos",C291)),ISNUMBER(SEARCH("Holguín",C291)),ISNUMBER(SEARCH("Holguin",C291)),ISNUMBER(SEARCH("Havana",C291)),ISNUMBER(SEARCH("Old Havana",C291)),ISNUMBER(SEARCH("Vedado",C291)),ISNUMBER(SEARCH("Miramar",C291))),NOT(ISNUMBER(SEARCH("historical",F291)))),"P291",IF(OR(ISNUMBER(SEARCH("historical",F291)),H291="Low",ISNUMBER(SEARCH("to verify",F291)),ISNUMBER(SEARCH("requires verification",F291))),"Backlog","P292")))))</f>
        <v/>
      </c>
    </row>
    <row r="292" ht="15.75" customHeight="1">
      <c r="H292" s="13"/>
      <c r="L292" s="13" t="str">
        <f>IF(A292="","",IF(OR(COUNTIF('Priority Rules'!$A$2:$A$24,A292)&gt;0,COUNTIF('Priority Rules'!$B$2:$B$8,B292)&gt;0),"P291",IF(COUNTIF('Priority Rules'!$C$2:$C$9,A292)&gt;0,"P292",IF(AND(OR(ISNUMBER(SEARCH("Varadero",C292)),ISNUMBER(SEARCH("Cayo Coco",C292)),ISNUMBER(SEARCH("Cayo Santa María",C292)),ISNUMBER(SEARCH("Cayo Santa Maria",C292)),ISNUMBER(SEARCH("Cayo Guillermo",C292)),ISNUMBER(SEARCH("Cayo Las Brujas",C292)),ISNUMBER(SEARCH("Cayo Ensenachos",C292)),ISNUMBER(SEARCH("Holguín",C292)),ISNUMBER(SEARCH("Holguin",C292)),ISNUMBER(SEARCH("Havana",C292)),ISNUMBER(SEARCH("Old Havana",C292)),ISNUMBER(SEARCH("Vedado",C292)),ISNUMBER(SEARCH("Miramar",C292))),NOT(ISNUMBER(SEARCH("historical",F292)))),"P292",IF(OR(ISNUMBER(SEARCH("historical",F292)),H292="Low",ISNUMBER(SEARCH("to verify",F292)),ISNUMBER(SEARCH("requires verification",F292))),"Backlog","P293")))))</f>
        <v/>
      </c>
    </row>
    <row r="293" ht="15.75" customHeight="1">
      <c r="H293" s="13"/>
      <c r="L293" s="13" t="str">
        <f>IF(A293="","",IF(OR(COUNTIF('Priority Rules'!$A$2:$A$24,A293)&gt;0,COUNTIF('Priority Rules'!$B$2:$B$8,B293)&gt;0),"P292",IF(COUNTIF('Priority Rules'!$C$2:$C$9,A293)&gt;0,"P293",IF(AND(OR(ISNUMBER(SEARCH("Varadero",C293)),ISNUMBER(SEARCH("Cayo Coco",C293)),ISNUMBER(SEARCH("Cayo Santa María",C293)),ISNUMBER(SEARCH("Cayo Santa Maria",C293)),ISNUMBER(SEARCH("Cayo Guillermo",C293)),ISNUMBER(SEARCH("Cayo Las Brujas",C293)),ISNUMBER(SEARCH("Cayo Ensenachos",C293)),ISNUMBER(SEARCH("Holguín",C293)),ISNUMBER(SEARCH("Holguin",C293)),ISNUMBER(SEARCH("Havana",C293)),ISNUMBER(SEARCH("Old Havana",C293)),ISNUMBER(SEARCH("Vedado",C293)),ISNUMBER(SEARCH("Miramar",C293))),NOT(ISNUMBER(SEARCH("historical",F293)))),"P293",IF(OR(ISNUMBER(SEARCH("historical",F293)),H293="Low",ISNUMBER(SEARCH("to verify",F293)),ISNUMBER(SEARCH("requires verification",F293))),"Backlog","P294")))))</f>
        <v/>
      </c>
    </row>
    <row r="294" ht="15.75" customHeight="1">
      <c r="H294" s="13"/>
      <c r="L294" s="13" t="str">
        <f>IF(A294="","",IF(OR(COUNTIF('Priority Rules'!$A$2:$A$24,A294)&gt;0,COUNTIF('Priority Rules'!$B$2:$B$8,B294)&gt;0),"P293",IF(COUNTIF('Priority Rules'!$C$2:$C$9,A294)&gt;0,"P294",IF(AND(OR(ISNUMBER(SEARCH("Varadero",C294)),ISNUMBER(SEARCH("Cayo Coco",C294)),ISNUMBER(SEARCH("Cayo Santa María",C294)),ISNUMBER(SEARCH("Cayo Santa Maria",C294)),ISNUMBER(SEARCH("Cayo Guillermo",C294)),ISNUMBER(SEARCH("Cayo Las Brujas",C294)),ISNUMBER(SEARCH("Cayo Ensenachos",C294)),ISNUMBER(SEARCH("Holguín",C294)),ISNUMBER(SEARCH("Holguin",C294)),ISNUMBER(SEARCH("Havana",C294)),ISNUMBER(SEARCH("Old Havana",C294)),ISNUMBER(SEARCH("Vedado",C294)),ISNUMBER(SEARCH("Miramar",C294))),NOT(ISNUMBER(SEARCH("historical",F294)))),"P294",IF(OR(ISNUMBER(SEARCH("historical",F294)),H294="Low",ISNUMBER(SEARCH("to verify",F294)),ISNUMBER(SEARCH("requires verification",F294))),"Backlog","P295")))))</f>
        <v/>
      </c>
    </row>
    <row r="295" ht="15.75" customHeight="1">
      <c r="H295" s="13"/>
      <c r="L295" s="13" t="str">
        <f>IF(A295="","",IF(OR(COUNTIF('Priority Rules'!$A$2:$A$24,A295)&gt;0,COUNTIF('Priority Rules'!$B$2:$B$8,B295)&gt;0),"P294",IF(COUNTIF('Priority Rules'!$C$2:$C$9,A295)&gt;0,"P295",IF(AND(OR(ISNUMBER(SEARCH("Varadero",C295)),ISNUMBER(SEARCH("Cayo Coco",C295)),ISNUMBER(SEARCH("Cayo Santa María",C295)),ISNUMBER(SEARCH("Cayo Santa Maria",C295)),ISNUMBER(SEARCH("Cayo Guillermo",C295)),ISNUMBER(SEARCH("Cayo Las Brujas",C295)),ISNUMBER(SEARCH("Cayo Ensenachos",C295)),ISNUMBER(SEARCH("Holguín",C295)),ISNUMBER(SEARCH("Holguin",C295)),ISNUMBER(SEARCH("Havana",C295)),ISNUMBER(SEARCH("Old Havana",C295)),ISNUMBER(SEARCH("Vedado",C295)),ISNUMBER(SEARCH("Miramar",C295))),NOT(ISNUMBER(SEARCH("historical",F295)))),"P295",IF(OR(ISNUMBER(SEARCH("historical",F295)),H295="Low",ISNUMBER(SEARCH("to verify",F295)),ISNUMBER(SEARCH("requires verification",F295))),"Backlog","P296")))))</f>
        <v/>
      </c>
    </row>
    <row r="296" ht="15.75" customHeight="1">
      <c r="H296" s="13"/>
      <c r="L296" s="13" t="str">
        <f>IF(A296="","",IF(OR(COUNTIF('Priority Rules'!$A$2:$A$24,A296)&gt;0,COUNTIF('Priority Rules'!$B$2:$B$8,B296)&gt;0),"P295",IF(COUNTIF('Priority Rules'!$C$2:$C$9,A296)&gt;0,"P296",IF(AND(OR(ISNUMBER(SEARCH("Varadero",C296)),ISNUMBER(SEARCH("Cayo Coco",C296)),ISNUMBER(SEARCH("Cayo Santa María",C296)),ISNUMBER(SEARCH("Cayo Santa Maria",C296)),ISNUMBER(SEARCH("Cayo Guillermo",C296)),ISNUMBER(SEARCH("Cayo Las Brujas",C296)),ISNUMBER(SEARCH("Cayo Ensenachos",C296)),ISNUMBER(SEARCH("Holguín",C296)),ISNUMBER(SEARCH("Holguin",C296)),ISNUMBER(SEARCH("Havana",C296)),ISNUMBER(SEARCH("Old Havana",C296)),ISNUMBER(SEARCH("Vedado",C296)),ISNUMBER(SEARCH("Miramar",C296))),NOT(ISNUMBER(SEARCH("historical",F296)))),"P296",IF(OR(ISNUMBER(SEARCH("historical",F296)),H296="Low",ISNUMBER(SEARCH("to verify",F296)),ISNUMBER(SEARCH("requires verification",F296))),"Backlog","P297")))))</f>
        <v/>
      </c>
    </row>
    <row r="297" ht="15.75" customHeight="1">
      <c r="H297" s="13"/>
      <c r="L297" s="13" t="str">
        <f>IF(A297="","",IF(OR(COUNTIF('Priority Rules'!$A$2:$A$24,A297)&gt;0,COUNTIF('Priority Rules'!$B$2:$B$8,B297)&gt;0),"P296",IF(COUNTIF('Priority Rules'!$C$2:$C$9,A297)&gt;0,"P297",IF(AND(OR(ISNUMBER(SEARCH("Varadero",C297)),ISNUMBER(SEARCH("Cayo Coco",C297)),ISNUMBER(SEARCH("Cayo Santa María",C297)),ISNUMBER(SEARCH("Cayo Santa Maria",C297)),ISNUMBER(SEARCH("Cayo Guillermo",C297)),ISNUMBER(SEARCH("Cayo Las Brujas",C297)),ISNUMBER(SEARCH("Cayo Ensenachos",C297)),ISNUMBER(SEARCH("Holguín",C297)),ISNUMBER(SEARCH("Holguin",C297)),ISNUMBER(SEARCH("Havana",C297)),ISNUMBER(SEARCH("Old Havana",C297)),ISNUMBER(SEARCH("Vedado",C297)),ISNUMBER(SEARCH("Miramar",C297))),NOT(ISNUMBER(SEARCH("historical",F297)))),"P297",IF(OR(ISNUMBER(SEARCH("historical",F297)),H297="Low",ISNUMBER(SEARCH("to verify",F297)),ISNUMBER(SEARCH("requires verification",F297))),"Backlog","P298")))))</f>
        <v/>
      </c>
    </row>
    <row r="298" ht="15.75" customHeight="1">
      <c r="H298" s="13"/>
      <c r="L298" s="13" t="str">
        <f>IF(A298="","",IF(OR(COUNTIF('Priority Rules'!$A$2:$A$24,A298)&gt;0,COUNTIF('Priority Rules'!$B$2:$B$8,B298)&gt;0),"P297",IF(COUNTIF('Priority Rules'!$C$2:$C$9,A298)&gt;0,"P298",IF(AND(OR(ISNUMBER(SEARCH("Varadero",C298)),ISNUMBER(SEARCH("Cayo Coco",C298)),ISNUMBER(SEARCH("Cayo Santa María",C298)),ISNUMBER(SEARCH("Cayo Santa Maria",C298)),ISNUMBER(SEARCH("Cayo Guillermo",C298)),ISNUMBER(SEARCH("Cayo Las Brujas",C298)),ISNUMBER(SEARCH("Cayo Ensenachos",C298)),ISNUMBER(SEARCH("Holguín",C298)),ISNUMBER(SEARCH("Holguin",C298)),ISNUMBER(SEARCH("Havana",C298)),ISNUMBER(SEARCH("Old Havana",C298)),ISNUMBER(SEARCH("Vedado",C298)),ISNUMBER(SEARCH("Miramar",C298))),NOT(ISNUMBER(SEARCH("historical",F298)))),"P298",IF(OR(ISNUMBER(SEARCH("historical",F298)),H298="Low",ISNUMBER(SEARCH("to verify",F298)),ISNUMBER(SEARCH("requires verification",F298))),"Backlog","P299")))))</f>
        <v/>
      </c>
    </row>
    <row r="299" ht="15.75" customHeight="1">
      <c r="H299" s="13"/>
      <c r="L299" s="13" t="str">
        <f>IF(A299="","",IF(OR(COUNTIF('Priority Rules'!$A$2:$A$24,A299)&gt;0,COUNTIF('Priority Rules'!$B$2:$B$8,B299)&gt;0),"P298",IF(COUNTIF('Priority Rules'!$C$2:$C$9,A299)&gt;0,"P299",IF(AND(OR(ISNUMBER(SEARCH("Varadero",C299)),ISNUMBER(SEARCH("Cayo Coco",C299)),ISNUMBER(SEARCH("Cayo Santa María",C299)),ISNUMBER(SEARCH("Cayo Santa Maria",C299)),ISNUMBER(SEARCH("Cayo Guillermo",C299)),ISNUMBER(SEARCH("Cayo Las Brujas",C299)),ISNUMBER(SEARCH("Cayo Ensenachos",C299)),ISNUMBER(SEARCH("Holguín",C299)),ISNUMBER(SEARCH("Holguin",C299)),ISNUMBER(SEARCH("Havana",C299)),ISNUMBER(SEARCH("Old Havana",C299)),ISNUMBER(SEARCH("Vedado",C299)),ISNUMBER(SEARCH("Miramar",C299))),NOT(ISNUMBER(SEARCH("historical",F299)))),"P299",IF(OR(ISNUMBER(SEARCH("historical",F299)),H299="Low",ISNUMBER(SEARCH("to verify",F299)),ISNUMBER(SEARCH("requires verification",F299))),"Backlog","P300")))))</f>
        <v/>
      </c>
    </row>
    <row r="300" ht="15.75" customHeight="1">
      <c r="H300" s="13"/>
      <c r="L300" s="13" t="str">
        <f>IF(A300="","",IF(OR(COUNTIF('Priority Rules'!$A$2:$A$24,A300)&gt;0,COUNTIF('Priority Rules'!$B$2:$B$8,B300)&gt;0),"P299",IF(COUNTIF('Priority Rules'!$C$2:$C$9,A300)&gt;0,"P300",IF(AND(OR(ISNUMBER(SEARCH("Varadero",C300)),ISNUMBER(SEARCH("Cayo Coco",C300)),ISNUMBER(SEARCH("Cayo Santa María",C300)),ISNUMBER(SEARCH("Cayo Santa Maria",C300)),ISNUMBER(SEARCH("Cayo Guillermo",C300)),ISNUMBER(SEARCH("Cayo Las Brujas",C300)),ISNUMBER(SEARCH("Cayo Ensenachos",C300)),ISNUMBER(SEARCH("Holguín",C300)),ISNUMBER(SEARCH("Holguin",C300)),ISNUMBER(SEARCH("Havana",C300)),ISNUMBER(SEARCH("Old Havana",C300)),ISNUMBER(SEARCH("Vedado",C300)),ISNUMBER(SEARCH("Miramar",C300))),NOT(ISNUMBER(SEARCH("historical",F300)))),"P300",IF(OR(ISNUMBER(SEARCH("historical",F300)),H300="Low",ISNUMBER(SEARCH("to verify",F300)),ISNUMBER(SEARCH("requires verification",F300))),"Backlog","P301")))))</f>
        <v/>
      </c>
    </row>
    <row r="301" ht="15.75" customHeight="1">
      <c r="H301" s="13"/>
      <c r="L301" s="13" t="str">
        <f>IF(A301="","",IF(OR(COUNTIF('Priority Rules'!$A$2:$A$24,A301)&gt;0,COUNTIF('Priority Rules'!$B$2:$B$8,B301)&gt;0),"P300",IF(COUNTIF('Priority Rules'!$C$2:$C$9,A301)&gt;0,"P301",IF(AND(OR(ISNUMBER(SEARCH("Varadero",C301)),ISNUMBER(SEARCH("Cayo Coco",C301)),ISNUMBER(SEARCH("Cayo Santa María",C301)),ISNUMBER(SEARCH("Cayo Santa Maria",C301)),ISNUMBER(SEARCH("Cayo Guillermo",C301)),ISNUMBER(SEARCH("Cayo Las Brujas",C301)),ISNUMBER(SEARCH("Cayo Ensenachos",C301)),ISNUMBER(SEARCH("Holguín",C301)),ISNUMBER(SEARCH("Holguin",C301)),ISNUMBER(SEARCH("Havana",C301)),ISNUMBER(SEARCH("Old Havana",C301)),ISNUMBER(SEARCH("Vedado",C301)),ISNUMBER(SEARCH("Miramar",C301))),NOT(ISNUMBER(SEARCH("historical",F301)))),"P301",IF(OR(ISNUMBER(SEARCH("historical",F301)),H301="Low",ISNUMBER(SEARCH("to verify",F301)),ISNUMBER(SEARCH("requires verification",F301))),"Backlog","P302")))))</f>
        <v/>
      </c>
    </row>
    <row r="302" ht="15.75" customHeight="1">
      <c r="H302" s="13"/>
      <c r="L302" s="13" t="str">
        <f>IF(A302="","",IF(OR(COUNTIF('Priority Rules'!$A$2:$A$24,A302)&gt;0,COUNTIF('Priority Rules'!$B$2:$B$8,B302)&gt;0),"P301",IF(COUNTIF('Priority Rules'!$C$2:$C$9,A302)&gt;0,"P302",IF(AND(OR(ISNUMBER(SEARCH("Varadero",C302)),ISNUMBER(SEARCH("Cayo Coco",C302)),ISNUMBER(SEARCH("Cayo Santa María",C302)),ISNUMBER(SEARCH("Cayo Santa Maria",C302)),ISNUMBER(SEARCH("Cayo Guillermo",C302)),ISNUMBER(SEARCH("Cayo Las Brujas",C302)),ISNUMBER(SEARCH("Cayo Ensenachos",C302)),ISNUMBER(SEARCH("Holguín",C302)),ISNUMBER(SEARCH("Holguin",C302)),ISNUMBER(SEARCH("Havana",C302)),ISNUMBER(SEARCH("Old Havana",C302)),ISNUMBER(SEARCH("Vedado",C302)),ISNUMBER(SEARCH("Miramar",C302))),NOT(ISNUMBER(SEARCH("historical",F302)))),"P302",IF(OR(ISNUMBER(SEARCH("historical",F302)),H302="Low",ISNUMBER(SEARCH("to verify",F302)),ISNUMBER(SEARCH("requires verification",F302))),"Backlog","P303")))))</f>
        <v/>
      </c>
    </row>
    <row r="303" ht="15.75" customHeight="1">
      <c r="H303" s="13"/>
      <c r="L303" s="13" t="str">
        <f>IF(A303="","",IF(OR(COUNTIF('Priority Rules'!$A$2:$A$24,A303)&gt;0,COUNTIF('Priority Rules'!$B$2:$B$8,B303)&gt;0),"P302",IF(COUNTIF('Priority Rules'!$C$2:$C$9,A303)&gt;0,"P303",IF(AND(OR(ISNUMBER(SEARCH("Varadero",C303)),ISNUMBER(SEARCH("Cayo Coco",C303)),ISNUMBER(SEARCH("Cayo Santa María",C303)),ISNUMBER(SEARCH("Cayo Santa Maria",C303)),ISNUMBER(SEARCH("Cayo Guillermo",C303)),ISNUMBER(SEARCH("Cayo Las Brujas",C303)),ISNUMBER(SEARCH("Cayo Ensenachos",C303)),ISNUMBER(SEARCH("Holguín",C303)),ISNUMBER(SEARCH("Holguin",C303)),ISNUMBER(SEARCH("Havana",C303)),ISNUMBER(SEARCH("Old Havana",C303)),ISNUMBER(SEARCH("Vedado",C303)),ISNUMBER(SEARCH("Miramar",C303))),NOT(ISNUMBER(SEARCH("historical",F303)))),"P303",IF(OR(ISNUMBER(SEARCH("historical",F303)),H303="Low",ISNUMBER(SEARCH("to verify",F303)),ISNUMBER(SEARCH("requires verification",F303))),"Backlog","P304")))))</f>
        <v/>
      </c>
    </row>
    <row r="304" ht="15.75" customHeight="1">
      <c r="H304" s="13"/>
      <c r="L304" s="13" t="str">
        <f>IF(A304="","",IF(OR(COUNTIF('Priority Rules'!$A$2:$A$24,A304)&gt;0,COUNTIF('Priority Rules'!$B$2:$B$8,B304)&gt;0),"P303",IF(COUNTIF('Priority Rules'!$C$2:$C$9,A304)&gt;0,"P304",IF(AND(OR(ISNUMBER(SEARCH("Varadero",C304)),ISNUMBER(SEARCH("Cayo Coco",C304)),ISNUMBER(SEARCH("Cayo Santa María",C304)),ISNUMBER(SEARCH("Cayo Santa Maria",C304)),ISNUMBER(SEARCH("Cayo Guillermo",C304)),ISNUMBER(SEARCH("Cayo Las Brujas",C304)),ISNUMBER(SEARCH("Cayo Ensenachos",C304)),ISNUMBER(SEARCH("Holguín",C304)),ISNUMBER(SEARCH("Holguin",C304)),ISNUMBER(SEARCH("Havana",C304)),ISNUMBER(SEARCH("Old Havana",C304)),ISNUMBER(SEARCH("Vedado",C304)),ISNUMBER(SEARCH("Miramar",C304))),NOT(ISNUMBER(SEARCH("historical",F304)))),"P304",IF(OR(ISNUMBER(SEARCH("historical",F304)),H304="Low",ISNUMBER(SEARCH("to verify",F304)),ISNUMBER(SEARCH("requires verification",F304))),"Backlog","P305")))))</f>
        <v/>
      </c>
    </row>
    <row r="305" ht="15.75" customHeight="1">
      <c r="H305" s="13"/>
      <c r="L305" s="13" t="str">
        <f>IF(A305="","",IF(OR(COUNTIF('Priority Rules'!$A$2:$A$24,A305)&gt;0,COUNTIF('Priority Rules'!$B$2:$B$8,B305)&gt;0),"P304",IF(COUNTIF('Priority Rules'!$C$2:$C$9,A305)&gt;0,"P305",IF(AND(OR(ISNUMBER(SEARCH("Varadero",C305)),ISNUMBER(SEARCH("Cayo Coco",C305)),ISNUMBER(SEARCH("Cayo Santa María",C305)),ISNUMBER(SEARCH("Cayo Santa Maria",C305)),ISNUMBER(SEARCH("Cayo Guillermo",C305)),ISNUMBER(SEARCH("Cayo Las Brujas",C305)),ISNUMBER(SEARCH("Cayo Ensenachos",C305)),ISNUMBER(SEARCH("Holguín",C305)),ISNUMBER(SEARCH("Holguin",C305)),ISNUMBER(SEARCH("Havana",C305)),ISNUMBER(SEARCH("Old Havana",C305)),ISNUMBER(SEARCH("Vedado",C305)),ISNUMBER(SEARCH("Miramar",C305))),NOT(ISNUMBER(SEARCH("historical",F305)))),"P305",IF(OR(ISNUMBER(SEARCH("historical",F305)),H305="Low",ISNUMBER(SEARCH("to verify",F305)),ISNUMBER(SEARCH("requires verification",F305))),"Backlog","P306")))))</f>
        <v/>
      </c>
    </row>
    <row r="306" ht="15.75" customHeight="1">
      <c r="H306" s="13"/>
      <c r="L306" s="13" t="str">
        <f>IF(A306="","",IF(OR(COUNTIF('Priority Rules'!$A$2:$A$24,A306)&gt;0,COUNTIF('Priority Rules'!$B$2:$B$8,B306)&gt;0),"P305",IF(COUNTIF('Priority Rules'!$C$2:$C$9,A306)&gt;0,"P306",IF(AND(OR(ISNUMBER(SEARCH("Varadero",C306)),ISNUMBER(SEARCH("Cayo Coco",C306)),ISNUMBER(SEARCH("Cayo Santa María",C306)),ISNUMBER(SEARCH("Cayo Santa Maria",C306)),ISNUMBER(SEARCH("Cayo Guillermo",C306)),ISNUMBER(SEARCH("Cayo Las Brujas",C306)),ISNUMBER(SEARCH("Cayo Ensenachos",C306)),ISNUMBER(SEARCH("Holguín",C306)),ISNUMBER(SEARCH("Holguin",C306)),ISNUMBER(SEARCH("Havana",C306)),ISNUMBER(SEARCH("Old Havana",C306)),ISNUMBER(SEARCH("Vedado",C306)),ISNUMBER(SEARCH("Miramar",C306))),NOT(ISNUMBER(SEARCH("historical",F306)))),"P306",IF(OR(ISNUMBER(SEARCH("historical",F306)),H306="Low",ISNUMBER(SEARCH("to verify",F306)),ISNUMBER(SEARCH("requires verification",F306))),"Backlog","P307")))))</f>
        <v/>
      </c>
    </row>
    <row r="307" ht="15.75" customHeight="1">
      <c r="H307" s="13"/>
      <c r="L307" s="13" t="str">
        <f>IF(A307="","",IF(OR(COUNTIF('Priority Rules'!$A$2:$A$24,A307)&gt;0,COUNTIF('Priority Rules'!$B$2:$B$8,B307)&gt;0),"P306",IF(COUNTIF('Priority Rules'!$C$2:$C$9,A307)&gt;0,"P307",IF(AND(OR(ISNUMBER(SEARCH("Varadero",C307)),ISNUMBER(SEARCH("Cayo Coco",C307)),ISNUMBER(SEARCH("Cayo Santa María",C307)),ISNUMBER(SEARCH("Cayo Santa Maria",C307)),ISNUMBER(SEARCH("Cayo Guillermo",C307)),ISNUMBER(SEARCH("Cayo Las Brujas",C307)),ISNUMBER(SEARCH("Cayo Ensenachos",C307)),ISNUMBER(SEARCH("Holguín",C307)),ISNUMBER(SEARCH("Holguin",C307)),ISNUMBER(SEARCH("Havana",C307)),ISNUMBER(SEARCH("Old Havana",C307)),ISNUMBER(SEARCH("Vedado",C307)),ISNUMBER(SEARCH("Miramar",C307))),NOT(ISNUMBER(SEARCH("historical",F307)))),"P307",IF(OR(ISNUMBER(SEARCH("historical",F307)),H307="Low",ISNUMBER(SEARCH("to verify",F307)),ISNUMBER(SEARCH("requires verification",F307))),"Backlog","P308")))))</f>
        <v/>
      </c>
    </row>
    <row r="308" ht="15.75" customHeight="1">
      <c r="H308" s="13"/>
      <c r="L308" s="13" t="str">
        <f>IF(A308="","",IF(OR(COUNTIF('Priority Rules'!$A$2:$A$24,A308)&gt;0,COUNTIF('Priority Rules'!$B$2:$B$8,B308)&gt;0),"P307",IF(COUNTIF('Priority Rules'!$C$2:$C$9,A308)&gt;0,"P308",IF(AND(OR(ISNUMBER(SEARCH("Varadero",C308)),ISNUMBER(SEARCH("Cayo Coco",C308)),ISNUMBER(SEARCH("Cayo Santa María",C308)),ISNUMBER(SEARCH("Cayo Santa Maria",C308)),ISNUMBER(SEARCH("Cayo Guillermo",C308)),ISNUMBER(SEARCH("Cayo Las Brujas",C308)),ISNUMBER(SEARCH("Cayo Ensenachos",C308)),ISNUMBER(SEARCH("Holguín",C308)),ISNUMBER(SEARCH("Holguin",C308)),ISNUMBER(SEARCH("Havana",C308)),ISNUMBER(SEARCH("Old Havana",C308)),ISNUMBER(SEARCH("Vedado",C308)),ISNUMBER(SEARCH("Miramar",C308))),NOT(ISNUMBER(SEARCH("historical",F308)))),"P308",IF(OR(ISNUMBER(SEARCH("historical",F308)),H308="Low",ISNUMBER(SEARCH("to verify",F308)),ISNUMBER(SEARCH("requires verification",F308))),"Backlog","P309")))))</f>
        <v/>
      </c>
    </row>
    <row r="309" ht="15.75" customHeight="1">
      <c r="H309" s="13"/>
      <c r="L309" s="13" t="str">
        <f>IF(A309="","",IF(OR(COUNTIF('Priority Rules'!$A$2:$A$24,A309)&gt;0,COUNTIF('Priority Rules'!$B$2:$B$8,B309)&gt;0),"P308",IF(COUNTIF('Priority Rules'!$C$2:$C$9,A309)&gt;0,"P309",IF(AND(OR(ISNUMBER(SEARCH("Varadero",C309)),ISNUMBER(SEARCH("Cayo Coco",C309)),ISNUMBER(SEARCH("Cayo Santa María",C309)),ISNUMBER(SEARCH("Cayo Santa Maria",C309)),ISNUMBER(SEARCH("Cayo Guillermo",C309)),ISNUMBER(SEARCH("Cayo Las Brujas",C309)),ISNUMBER(SEARCH("Cayo Ensenachos",C309)),ISNUMBER(SEARCH("Holguín",C309)),ISNUMBER(SEARCH("Holguin",C309)),ISNUMBER(SEARCH("Havana",C309)),ISNUMBER(SEARCH("Old Havana",C309)),ISNUMBER(SEARCH("Vedado",C309)),ISNUMBER(SEARCH("Miramar",C309))),NOT(ISNUMBER(SEARCH("historical",F309)))),"P309",IF(OR(ISNUMBER(SEARCH("historical",F309)),H309="Low",ISNUMBER(SEARCH("to verify",F309)),ISNUMBER(SEARCH("requires verification",F309))),"Backlog","P310")))))</f>
        <v/>
      </c>
    </row>
    <row r="310" ht="15.75" customHeight="1">
      <c r="H310" s="13"/>
      <c r="L310" s="13" t="str">
        <f>IF(A310="","",IF(OR(COUNTIF('Priority Rules'!$A$2:$A$24,A310)&gt;0,COUNTIF('Priority Rules'!$B$2:$B$8,B310)&gt;0),"P309",IF(COUNTIF('Priority Rules'!$C$2:$C$9,A310)&gt;0,"P310",IF(AND(OR(ISNUMBER(SEARCH("Varadero",C310)),ISNUMBER(SEARCH("Cayo Coco",C310)),ISNUMBER(SEARCH("Cayo Santa María",C310)),ISNUMBER(SEARCH("Cayo Santa Maria",C310)),ISNUMBER(SEARCH("Cayo Guillermo",C310)),ISNUMBER(SEARCH("Cayo Las Brujas",C310)),ISNUMBER(SEARCH("Cayo Ensenachos",C310)),ISNUMBER(SEARCH("Holguín",C310)),ISNUMBER(SEARCH("Holguin",C310)),ISNUMBER(SEARCH("Havana",C310)),ISNUMBER(SEARCH("Old Havana",C310)),ISNUMBER(SEARCH("Vedado",C310)),ISNUMBER(SEARCH("Miramar",C310))),NOT(ISNUMBER(SEARCH("historical",F310)))),"P310",IF(OR(ISNUMBER(SEARCH("historical",F310)),H310="Low",ISNUMBER(SEARCH("to verify",F310)),ISNUMBER(SEARCH("requires verification",F310))),"Backlog","P311")))))</f>
        <v/>
      </c>
    </row>
    <row r="311" ht="15.75" customHeight="1">
      <c r="H311" s="13"/>
      <c r="L311" s="13" t="str">
        <f>IF(A311="","",IF(OR(COUNTIF('Priority Rules'!$A$2:$A$24,A311)&gt;0,COUNTIF('Priority Rules'!$B$2:$B$8,B311)&gt;0),"P310",IF(COUNTIF('Priority Rules'!$C$2:$C$9,A311)&gt;0,"P311",IF(AND(OR(ISNUMBER(SEARCH("Varadero",C311)),ISNUMBER(SEARCH("Cayo Coco",C311)),ISNUMBER(SEARCH("Cayo Santa María",C311)),ISNUMBER(SEARCH("Cayo Santa Maria",C311)),ISNUMBER(SEARCH("Cayo Guillermo",C311)),ISNUMBER(SEARCH("Cayo Las Brujas",C311)),ISNUMBER(SEARCH("Cayo Ensenachos",C311)),ISNUMBER(SEARCH("Holguín",C311)),ISNUMBER(SEARCH("Holguin",C311)),ISNUMBER(SEARCH("Havana",C311)),ISNUMBER(SEARCH("Old Havana",C311)),ISNUMBER(SEARCH("Vedado",C311)),ISNUMBER(SEARCH("Miramar",C311))),NOT(ISNUMBER(SEARCH("historical",F311)))),"P311",IF(OR(ISNUMBER(SEARCH("historical",F311)),H311="Low",ISNUMBER(SEARCH("to verify",F311)),ISNUMBER(SEARCH("requires verification",F311))),"Backlog","P312")))))</f>
        <v/>
      </c>
    </row>
    <row r="312" ht="15.75" customHeight="1">
      <c r="H312" s="13"/>
      <c r="L312" s="13" t="str">
        <f>IF(A312="","",IF(OR(COUNTIF('Priority Rules'!$A$2:$A$24,A312)&gt;0,COUNTIF('Priority Rules'!$B$2:$B$8,B312)&gt;0),"P311",IF(COUNTIF('Priority Rules'!$C$2:$C$9,A312)&gt;0,"P312",IF(AND(OR(ISNUMBER(SEARCH("Varadero",C312)),ISNUMBER(SEARCH("Cayo Coco",C312)),ISNUMBER(SEARCH("Cayo Santa María",C312)),ISNUMBER(SEARCH("Cayo Santa Maria",C312)),ISNUMBER(SEARCH("Cayo Guillermo",C312)),ISNUMBER(SEARCH("Cayo Las Brujas",C312)),ISNUMBER(SEARCH("Cayo Ensenachos",C312)),ISNUMBER(SEARCH("Holguín",C312)),ISNUMBER(SEARCH("Holguin",C312)),ISNUMBER(SEARCH("Havana",C312)),ISNUMBER(SEARCH("Old Havana",C312)),ISNUMBER(SEARCH("Vedado",C312)),ISNUMBER(SEARCH("Miramar",C312))),NOT(ISNUMBER(SEARCH("historical",F312)))),"P312",IF(OR(ISNUMBER(SEARCH("historical",F312)),H312="Low",ISNUMBER(SEARCH("to verify",F312)),ISNUMBER(SEARCH("requires verification",F312))),"Backlog","P313")))))</f>
        <v/>
      </c>
    </row>
    <row r="313" ht="15.75" customHeight="1">
      <c r="H313" s="13"/>
      <c r="L313" s="13" t="str">
        <f>IF(A313="","",IF(OR(COUNTIF('Priority Rules'!$A$2:$A$24,A313)&gt;0,COUNTIF('Priority Rules'!$B$2:$B$8,B313)&gt;0),"P312",IF(COUNTIF('Priority Rules'!$C$2:$C$9,A313)&gt;0,"P313",IF(AND(OR(ISNUMBER(SEARCH("Varadero",C313)),ISNUMBER(SEARCH("Cayo Coco",C313)),ISNUMBER(SEARCH("Cayo Santa María",C313)),ISNUMBER(SEARCH("Cayo Santa Maria",C313)),ISNUMBER(SEARCH("Cayo Guillermo",C313)),ISNUMBER(SEARCH("Cayo Las Brujas",C313)),ISNUMBER(SEARCH("Cayo Ensenachos",C313)),ISNUMBER(SEARCH("Holguín",C313)),ISNUMBER(SEARCH("Holguin",C313)),ISNUMBER(SEARCH("Havana",C313)),ISNUMBER(SEARCH("Old Havana",C313)),ISNUMBER(SEARCH("Vedado",C313)),ISNUMBER(SEARCH("Miramar",C313))),NOT(ISNUMBER(SEARCH("historical",F313)))),"P313",IF(OR(ISNUMBER(SEARCH("historical",F313)),H313="Low",ISNUMBER(SEARCH("to verify",F313)),ISNUMBER(SEARCH("requires verification",F313))),"Backlog","P314")))))</f>
        <v/>
      </c>
    </row>
    <row r="314" ht="15.75" customHeight="1">
      <c r="H314" s="13"/>
      <c r="L314" s="13" t="str">
        <f>IF(A314="","",IF(OR(COUNTIF('Priority Rules'!$A$2:$A$24,A314)&gt;0,COUNTIF('Priority Rules'!$B$2:$B$8,B314)&gt;0),"P313",IF(COUNTIF('Priority Rules'!$C$2:$C$9,A314)&gt;0,"P314",IF(AND(OR(ISNUMBER(SEARCH("Varadero",C314)),ISNUMBER(SEARCH("Cayo Coco",C314)),ISNUMBER(SEARCH("Cayo Santa María",C314)),ISNUMBER(SEARCH("Cayo Santa Maria",C314)),ISNUMBER(SEARCH("Cayo Guillermo",C314)),ISNUMBER(SEARCH("Cayo Las Brujas",C314)),ISNUMBER(SEARCH("Cayo Ensenachos",C314)),ISNUMBER(SEARCH("Holguín",C314)),ISNUMBER(SEARCH("Holguin",C314)),ISNUMBER(SEARCH("Havana",C314)),ISNUMBER(SEARCH("Old Havana",C314)),ISNUMBER(SEARCH("Vedado",C314)),ISNUMBER(SEARCH("Miramar",C314))),NOT(ISNUMBER(SEARCH("historical",F314)))),"P314",IF(OR(ISNUMBER(SEARCH("historical",F314)),H314="Low",ISNUMBER(SEARCH("to verify",F314)),ISNUMBER(SEARCH("requires verification",F314))),"Backlog","P315")))))</f>
        <v/>
      </c>
    </row>
    <row r="315" ht="15.75" customHeight="1">
      <c r="H315" s="13"/>
      <c r="L315" s="13" t="str">
        <f>IF(A315="","",IF(OR(COUNTIF('Priority Rules'!$A$2:$A$24,A315)&gt;0,COUNTIF('Priority Rules'!$B$2:$B$8,B315)&gt;0),"P314",IF(COUNTIF('Priority Rules'!$C$2:$C$9,A315)&gt;0,"P315",IF(AND(OR(ISNUMBER(SEARCH("Varadero",C315)),ISNUMBER(SEARCH("Cayo Coco",C315)),ISNUMBER(SEARCH("Cayo Santa María",C315)),ISNUMBER(SEARCH("Cayo Santa Maria",C315)),ISNUMBER(SEARCH("Cayo Guillermo",C315)),ISNUMBER(SEARCH("Cayo Las Brujas",C315)),ISNUMBER(SEARCH("Cayo Ensenachos",C315)),ISNUMBER(SEARCH("Holguín",C315)),ISNUMBER(SEARCH("Holguin",C315)),ISNUMBER(SEARCH("Havana",C315)),ISNUMBER(SEARCH("Old Havana",C315)),ISNUMBER(SEARCH("Vedado",C315)),ISNUMBER(SEARCH("Miramar",C315))),NOT(ISNUMBER(SEARCH("historical",F315)))),"P315",IF(OR(ISNUMBER(SEARCH("historical",F315)),H315="Low",ISNUMBER(SEARCH("to verify",F315)),ISNUMBER(SEARCH("requires verification",F315))),"Backlog","P316")))))</f>
        <v/>
      </c>
    </row>
    <row r="316" ht="15.75" customHeight="1">
      <c r="H316" s="13"/>
      <c r="L316" s="13" t="str">
        <f>IF(A316="","",IF(OR(COUNTIF('Priority Rules'!$A$2:$A$24,A316)&gt;0,COUNTIF('Priority Rules'!$B$2:$B$8,B316)&gt;0),"P315",IF(COUNTIF('Priority Rules'!$C$2:$C$9,A316)&gt;0,"P316",IF(AND(OR(ISNUMBER(SEARCH("Varadero",C316)),ISNUMBER(SEARCH("Cayo Coco",C316)),ISNUMBER(SEARCH("Cayo Santa María",C316)),ISNUMBER(SEARCH("Cayo Santa Maria",C316)),ISNUMBER(SEARCH("Cayo Guillermo",C316)),ISNUMBER(SEARCH("Cayo Las Brujas",C316)),ISNUMBER(SEARCH("Cayo Ensenachos",C316)),ISNUMBER(SEARCH("Holguín",C316)),ISNUMBER(SEARCH("Holguin",C316)),ISNUMBER(SEARCH("Havana",C316)),ISNUMBER(SEARCH("Old Havana",C316)),ISNUMBER(SEARCH("Vedado",C316)),ISNUMBER(SEARCH("Miramar",C316))),NOT(ISNUMBER(SEARCH("historical",F316)))),"P316",IF(OR(ISNUMBER(SEARCH("historical",F316)),H316="Low",ISNUMBER(SEARCH("to verify",F316)),ISNUMBER(SEARCH("requires verification",F316))),"Backlog","P317")))))</f>
        <v/>
      </c>
    </row>
    <row r="317" ht="15.75" customHeight="1">
      <c r="H317" s="13"/>
      <c r="L317" s="13" t="str">
        <f>IF(A317="","",IF(OR(COUNTIF('Priority Rules'!$A$2:$A$24,A317)&gt;0,COUNTIF('Priority Rules'!$B$2:$B$8,B317)&gt;0),"P316",IF(COUNTIF('Priority Rules'!$C$2:$C$9,A317)&gt;0,"P317",IF(AND(OR(ISNUMBER(SEARCH("Varadero",C317)),ISNUMBER(SEARCH("Cayo Coco",C317)),ISNUMBER(SEARCH("Cayo Santa María",C317)),ISNUMBER(SEARCH("Cayo Santa Maria",C317)),ISNUMBER(SEARCH("Cayo Guillermo",C317)),ISNUMBER(SEARCH("Cayo Las Brujas",C317)),ISNUMBER(SEARCH("Cayo Ensenachos",C317)),ISNUMBER(SEARCH("Holguín",C317)),ISNUMBER(SEARCH("Holguin",C317)),ISNUMBER(SEARCH("Havana",C317)),ISNUMBER(SEARCH("Old Havana",C317)),ISNUMBER(SEARCH("Vedado",C317)),ISNUMBER(SEARCH("Miramar",C317))),NOT(ISNUMBER(SEARCH("historical",F317)))),"P317",IF(OR(ISNUMBER(SEARCH("historical",F317)),H317="Low",ISNUMBER(SEARCH("to verify",F317)),ISNUMBER(SEARCH("requires verification",F317))),"Backlog","P318")))))</f>
        <v/>
      </c>
    </row>
    <row r="318" ht="15.75" customHeight="1">
      <c r="H318" s="13"/>
      <c r="L318" s="13" t="str">
        <f>IF(A318="","",IF(OR(COUNTIF('Priority Rules'!$A$2:$A$24,A318)&gt;0,COUNTIF('Priority Rules'!$B$2:$B$8,B318)&gt;0),"P317",IF(COUNTIF('Priority Rules'!$C$2:$C$9,A318)&gt;0,"P318",IF(AND(OR(ISNUMBER(SEARCH("Varadero",C318)),ISNUMBER(SEARCH("Cayo Coco",C318)),ISNUMBER(SEARCH("Cayo Santa María",C318)),ISNUMBER(SEARCH("Cayo Santa Maria",C318)),ISNUMBER(SEARCH("Cayo Guillermo",C318)),ISNUMBER(SEARCH("Cayo Las Brujas",C318)),ISNUMBER(SEARCH("Cayo Ensenachos",C318)),ISNUMBER(SEARCH("Holguín",C318)),ISNUMBER(SEARCH("Holguin",C318)),ISNUMBER(SEARCH("Havana",C318)),ISNUMBER(SEARCH("Old Havana",C318)),ISNUMBER(SEARCH("Vedado",C318)),ISNUMBER(SEARCH("Miramar",C318))),NOT(ISNUMBER(SEARCH("historical",F318)))),"P318",IF(OR(ISNUMBER(SEARCH("historical",F318)),H318="Low",ISNUMBER(SEARCH("to verify",F318)),ISNUMBER(SEARCH("requires verification",F318))),"Backlog","P319")))))</f>
        <v/>
      </c>
    </row>
    <row r="319" ht="15.75" customHeight="1">
      <c r="H319" s="13"/>
      <c r="L319" s="13" t="str">
        <f>IF(A319="","",IF(OR(COUNTIF('Priority Rules'!$A$2:$A$24,A319)&gt;0,COUNTIF('Priority Rules'!$B$2:$B$8,B319)&gt;0),"P318",IF(COUNTIF('Priority Rules'!$C$2:$C$9,A319)&gt;0,"P319",IF(AND(OR(ISNUMBER(SEARCH("Varadero",C319)),ISNUMBER(SEARCH("Cayo Coco",C319)),ISNUMBER(SEARCH("Cayo Santa María",C319)),ISNUMBER(SEARCH("Cayo Santa Maria",C319)),ISNUMBER(SEARCH("Cayo Guillermo",C319)),ISNUMBER(SEARCH("Cayo Las Brujas",C319)),ISNUMBER(SEARCH("Cayo Ensenachos",C319)),ISNUMBER(SEARCH("Holguín",C319)),ISNUMBER(SEARCH("Holguin",C319)),ISNUMBER(SEARCH("Havana",C319)),ISNUMBER(SEARCH("Old Havana",C319)),ISNUMBER(SEARCH("Vedado",C319)),ISNUMBER(SEARCH("Miramar",C319))),NOT(ISNUMBER(SEARCH("historical",F319)))),"P319",IF(OR(ISNUMBER(SEARCH("historical",F319)),H319="Low",ISNUMBER(SEARCH("to verify",F319)),ISNUMBER(SEARCH("requires verification",F319))),"Backlog","P320")))))</f>
        <v/>
      </c>
    </row>
    <row r="320" ht="15.75" customHeight="1">
      <c r="H320" s="13"/>
      <c r="L320" s="13" t="str">
        <f>IF(A320="","",IF(OR(COUNTIF('Priority Rules'!$A$2:$A$24,A320)&gt;0,COUNTIF('Priority Rules'!$B$2:$B$8,B320)&gt;0),"P319",IF(COUNTIF('Priority Rules'!$C$2:$C$9,A320)&gt;0,"P320",IF(AND(OR(ISNUMBER(SEARCH("Varadero",C320)),ISNUMBER(SEARCH("Cayo Coco",C320)),ISNUMBER(SEARCH("Cayo Santa María",C320)),ISNUMBER(SEARCH("Cayo Santa Maria",C320)),ISNUMBER(SEARCH("Cayo Guillermo",C320)),ISNUMBER(SEARCH("Cayo Las Brujas",C320)),ISNUMBER(SEARCH("Cayo Ensenachos",C320)),ISNUMBER(SEARCH("Holguín",C320)),ISNUMBER(SEARCH("Holguin",C320)),ISNUMBER(SEARCH("Havana",C320)),ISNUMBER(SEARCH("Old Havana",C320)),ISNUMBER(SEARCH("Vedado",C320)),ISNUMBER(SEARCH("Miramar",C320))),NOT(ISNUMBER(SEARCH("historical",F320)))),"P320",IF(OR(ISNUMBER(SEARCH("historical",F320)),H320="Low",ISNUMBER(SEARCH("to verify",F320)),ISNUMBER(SEARCH("requires verification",F320))),"Backlog","P321")))))</f>
        <v/>
      </c>
    </row>
    <row r="321" ht="15.75" customHeight="1">
      <c r="H321" s="13"/>
      <c r="L321" s="13" t="str">
        <f>IF(A321="","",IF(OR(COUNTIF('Priority Rules'!$A$2:$A$24,A321)&gt;0,COUNTIF('Priority Rules'!$B$2:$B$8,B321)&gt;0),"P320",IF(COUNTIF('Priority Rules'!$C$2:$C$9,A321)&gt;0,"P321",IF(AND(OR(ISNUMBER(SEARCH("Varadero",C321)),ISNUMBER(SEARCH("Cayo Coco",C321)),ISNUMBER(SEARCH("Cayo Santa María",C321)),ISNUMBER(SEARCH("Cayo Santa Maria",C321)),ISNUMBER(SEARCH("Cayo Guillermo",C321)),ISNUMBER(SEARCH("Cayo Las Brujas",C321)),ISNUMBER(SEARCH("Cayo Ensenachos",C321)),ISNUMBER(SEARCH("Holguín",C321)),ISNUMBER(SEARCH("Holguin",C321)),ISNUMBER(SEARCH("Havana",C321)),ISNUMBER(SEARCH("Old Havana",C321)),ISNUMBER(SEARCH("Vedado",C321)),ISNUMBER(SEARCH("Miramar",C321))),NOT(ISNUMBER(SEARCH("historical",F321)))),"P321",IF(OR(ISNUMBER(SEARCH("historical",F321)),H321="Low",ISNUMBER(SEARCH("to verify",F321)),ISNUMBER(SEARCH("requires verification",F321))),"Backlog","P322")))))</f>
        <v/>
      </c>
    </row>
    <row r="322" ht="15.75" customHeight="1">
      <c r="H322" s="13"/>
      <c r="L322" s="13" t="str">
        <f>IF(A322="","",IF(OR(COUNTIF('Priority Rules'!$A$2:$A$24,A322)&gt;0,COUNTIF('Priority Rules'!$B$2:$B$8,B322)&gt;0),"P321",IF(COUNTIF('Priority Rules'!$C$2:$C$9,A322)&gt;0,"P322",IF(AND(OR(ISNUMBER(SEARCH("Varadero",C322)),ISNUMBER(SEARCH("Cayo Coco",C322)),ISNUMBER(SEARCH("Cayo Santa María",C322)),ISNUMBER(SEARCH("Cayo Santa Maria",C322)),ISNUMBER(SEARCH("Cayo Guillermo",C322)),ISNUMBER(SEARCH("Cayo Las Brujas",C322)),ISNUMBER(SEARCH("Cayo Ensenachos",C322)),ISNUMBER(SEARCH("Holguín",C322)),ISNUMBER(SEARCH("Holguin",C322)),ISNUMBER(SEARCH("Havana",C322)),ISNUMBER(SEARCH("Old Havana",C322)),ISNUMBER(SEARCH("Vedado",C322)),ISNUMBER(SEARCH("Miramar",C322))),NOT(ISNUMBER(SEARCH("historical",F322)))),"P322",IF(OR(ISNUMBER(SEARCH("historical",F322)),H322="Low",ISNUMBER(SEARCH("to verify",F322)),ISNUMBER(SEARCH("requires verification",F322))),"Backlog","P323")))))</f>
        <v/>
      </c>
    </row>
    <row r="323" ht="15.75" customHeight="1">
      <c r="H323" s="13"/>
      <c r="L323" s="13" t="str">
        <f>IF(A323="","",IF(OR(COUNTIF('Priority Rules'!$A$2:$A$24,A323)&gt;0,COUNTIF('Priority Rules'!$B$2:$B$8,B323)&gt;0),"P322",IF(COUNTIF('Priority Rules'!$C$2:$C$9,A323)&gt;0,"P323",IF(AND(OR(ISNUMBER(SEARCH("Varadero",C323)),ISNUMBER(SEARCH("Cayo Coco",C323)),ISNUMBER(SEARCH("Cayo Santa María",C323)),ISNUMBER(SEARCH("Cayo Santa Maria",C323)),ISNUMBER(SEARCH("Cayo Guillermo",C323)),ISNUMBER(SEARCH("Cayo Las Brujas",C323)),ISNUMBER(SEARCH("Cayo Ensenachos",C323)),ISNUMBER(SEARCH("Holguín",C323)),ISNUMBER(SEARCH("Holguin",C323)),ISNUMBER(SEARCH("Havana",C323)),ISNUMBER(SEARCH("Old Havana",C323)),ISNUMBER(SEARCH("Vedado",C323)),ISNUMBER(SEARCH("Miramar",C323))),NOT(ISNUMBER(SEARCH("historical",F323)))),"P323",IF(OR(ISNUMBER(SEARCH("historical",F323)),H323="Low",ISNUMBER(SEARCH("to verify",F323)),ISNUMBER(SEARCH("requires verification",F323))),"Backlog","P324")))))</f>
        <v/>
      </c>
    </row>
    <row r="324" ht="15.75" customHeight="1">
      <c r="H324" s="13"/>
      <c r="L324" s="13" t="str">
        <f>IF(A324="","",IF(OR(COUNTIF('Priority Rules'!$A$2:$A$24,A324)&gt;0,COUNTIF('Priority Rules'!$B$2:$B$8,B324)&gt;0),"P323",IF(COUNTIF('Priority Rules'!$C$2:$C$9,A324)&gt;0,"P324",IF(AND(OR(ISNUMBER(SEARCH("Varadero",C324)),ISNUMBER(SEARCH("Cayo Coco",C324)),ISNUMBER(SEARCH("Cayo Santa María",C324)),ISNUMBER(SEARCH("Cayo Santa Maria",C324)),ISNUMBER(SEARCH("Cayo Guillermo",C324)),ISNUMBER(SEARCH("Cayo Las Brujas",C324)),ISNUMBER(SEARCH("Cayo Ensenachos",C324)),ISNUMBER(SEARCH("Holguín",C324)),ISNUMBER(SEARCH("Holguin",C324)),ISNUMBER(SEARCH("Havana",C324)),ISNUMBER(SEARCH("Old Havana",C324)),ISNUMBER(SEARCH("Vedado",C324)),ISNUMBER(SEARCH("Miramar",C324))),NOT(ISNUMBER(SEARCH("historical",F324)))),"P324",IF(OR(ISNUMBER(SEARCH("historical",F324)),H324="Low",ISNUMBER(SEARCH("to verify",F324)),ISNUMBER(SEARCH("requires verification",F324))),"Backlog","P325")))))</f>
        <v/>
      </c>
    </row>
    <row r="325" ht="15.75" customHeight="1">
      <c r="H325" s="13"/>
      <c r="L325" s="13" t="str">
        <f>IF(A325="","",IF(OR(COUNTIF('Priority Rules'!$A$2:$A$24,A325)&gt;0,COUNTIF('Priority Rules'!$B$2:$B$8,B325)&gt;0),"P324",IF(COUNTIF('Priority Rules'!$C$2:$C$9,A325)&gt;0,"P325",IF(AND(OR(ISNUMBER(SEARCH("Varadero",C325)),ISNUMBER(SEARCH("Cayo Coco",C325)),ISNUMBER(SEARCH("Cayo Santa María",C325)),ISNUMBER(SEARCH("Cayo Santa Maria",C325)),ISNUMBER(SEARCH("Cayo Guillermo",C325)),ISNUMBER(SEARCH("Cayo Las Brujas",C325)),ISNUMBER(SEARCH("Cayo Ensenachos",C325)),ISNUMBER(SEARCH("Holguín",C325)),ISNUMBER(SEARCH("Holguin",C325)),ISNUMBER(SEARCH("Havana",C325)),ISNUMBER(SEARCH("Old Havana",C325)),ISNUMBER(SEARCH("Vedado",C325)),ISNUMBER(SEARCH("Miramar",C325))),NOT(ISNUMBER(SEARCH("historical",F325)))),"P325",IF(OR(ISNUMBER(SEARCH("historical",F325)),H325="Low",ISNUMBER(SEARCH("to verify",F325)),ISNUMBER(SEARCH("requires verification",F325))),"Backlog","P326")))))</f>
        <v/>
      </c>
    </row>
    <row r="326" ht="15.75" customHeight="1">
      <c r="H326" s="13"/>
      <c r="L326" s="13" t="str">
        <f>IF(A326="","",IF(OR(COUNTIF('Priority Rules'!$A$2:$A$24,A326)&gt;0,COUNTIF('Priority Rules'!$B$2:$B$8,B326)&gt;0),"P325",IF(COUNTIF('Priority Rules'!$C$2:$C$9,A326)&gt;0,"P326",IF(AND(OR(ISNUMBER(SEARCH("Varadero",C326)),ISNUMBER(SEARCH("Cayo Coco",C326)),ISNUMBER(SEARCH("Cayo Santa María",C326)),ISNUMBER(SEARCH("Cayo Santa Maria",C326)),ISNUMBER(SEARCH("Cayo Guillermo",C326)),ISNUMBER(SEARCH("Cayo Las Brujas",C326)),ISNUMBER(SEARCH("Cayo Ensenachos",C326)),ISNUMBER(SEARCH("Holguín",C326)),ISNUMBER(SEARCH("Holguin",C326)),ISNUMBER(SEARCH("Havana",C326)),ISNUMBER(SEARCH("Old Havana",C326)),ISNUMBER(SEARCH("Vedado",C326)),ISNUMBER(SEARCH("Miramar",C326))),NOT(ISNUMBER(SEARCH("historical",F326)))),"P326",IF(OR(ISNUMBER(SEARCH("historical",F326)),H326="Low",ISNUMBER(SEARCH("to verify",F326)),ISNUMBER(SEARCH("requires verification",F326))),"Backlog","P327")))))</f>
        <v/>
      </c>
    </row>
    <row r="327" ht="15.75" customHeight="1">
      <c r="H327" s="13"/>
      <c r="L327" s="13" t="str">
        <f>IF(A327="","",IF(OR(COUNTIF('Priority Rules'!$A$2:$A$24,A327)&gt;0,COUNTIF('Priority Rules'!$B$2:$B$8,B327)&gt;0),"P326",IF(COUNTIF('Priority Rules'!$C$2:$C$9,A327)&gt;0,"P327",IF(AND(OR(ISNUMBER(SEARCH("Varadero",C327)),ISNUMBER(SEARCH("Cayo Coco",C327)),ISNUMBER(SEARCH("Cayo Santa María",C327)),ISNUMBER(SEARCH("Cayo Santa Maria",C327)),ISNUMBER(SEARCH("Cayo Guillermo",C327)),ISNUMBER(SEARCH("Cayo Las Brujas",C327)),ISNUMBER(SEARCH("Cayo Ensenachos",C327)),ISNUMBER(SEARCH("Holguín",C327)),ISNUMBER(SEARCH("Holguin",C327)),ISNUMBER(SEARCH("Havana",C327)),ISNUMBER(SEARCH("Old Havana",C327)),ISNUMBER(SEARCH("Vedado",C327)),ISNUMBER(SEARCH("Miramar",C327))),NOT(ISNUMBER(SEARCH("historical",F327)))),"P327",IF(OR(ISNUMBER(SEARCH("historical",F327)),H327="Low",ISNUMBER(SEARCH("to verify",F327)),ISNUMBER(SEARCH("requires verification",F327))),"Backlog","P328")))))</f>
        <v/>
      </c>
    </row>
    <row r="328" ht="15.75" customHeight="1">
      <c r="H328" s="13"/>
      <c r="L328" s="13" t="str">
        <f>IF(A328="","",IF(OR(COUNTIF('Priority Rules'!$A$2:$A$24,A328)&gt;0,COUNTIF('Priority Rules'!$B$2:$B$8,B328)&gt;0),"P327",IF(COUNTIF('Priority Rules'!$C$2:$C$9,A328)&gt;0,"P328",IF(AND(OR(ISNUMBER(SEARCH("Varadero",C328)),ISNUMBER(SEARCH("Cayo Coco",C328)),ISNUMBER(SEARCH("Cayo Santa María",C328)),ISNUMBER(SEARCH("Cayo Santa Maria",C328)),ISNUMBER(SEARCH("Cayo Guillermo",C328)),ISNUMBER(SEARCH("Cayo Las Brujas",C328)),ISNUMBER(SEARCH("Cayo Ensenachos",C328)),ISNUMBER(SEARCH("Holguín",C328)),ISNUMBER(SEARCH("Holguin",C328)),ISNUMBER(SEARCH("Havana",C328)),ISNUMBER(SEARCH("Old Havana",C328)),ISNUMBER(SEARCH("Vedado",C328)),ISNUMBER(SEARCH("Miramar",C328))),NOT(ISNUMBER(SEARCH("historical",F328)))),"P328",IF(OR(ISNUMBER(SEARCH("historical",F328)),H328="Low",ISNUMBER(SEARCH("to verify",F328)),ISNUMBER(SEARCH("requires verification",F328))),"Backlog","P329")))))</f>
        <v/>
      </c>
    </row>
    <row r="329" ht="15.75" customHeight="1">
      <c r="H329" s="13"/>
      <c r="L329" s="13" t="str">
        <f>IF(A329="","",IF(OR(COUNTIF('Priority Rules'!$A$2:$A$24,A329)&gt;0,COUNTIF('Priority Rules'!$B$2:$B$8,B329)&gt;0),"P328",IF(COUNTIF('Priority Rules'!$C$2:$C$9,A329)&gt;0,"P329",IF(AND(OR(ISNUMBER(SEARCH("Varadero",C329)),ISNUMBER(SEARCH("Cayo Coco",C329)),ISNUMBER(SEARCH("Cayo Santa María",C329)),ISNUMBER(SEARCH("Cayo Santa Maria",C329)),ISNUMBER(SEARCH("Cayo Guillermo",C329)),ISNUMBER(SEARCH("Cayo Las Brujas",C329)),ISNUMBER(SEARCH("Cayo Ensenachos",C329)),ISNUMBER(SEARCH("Holguín",C329)),ISNUMBER(SEARCH("Holguin",C329)),ISNUMBER(SEARCH("Havana",C329)),ISNUMBER(SEARCH("Old Havana",C329)),ISNUMBER(SEARCH("Vedado",C329)),ISNUMBER(SEARCH("Miramar",C329))),NOT(ISNUMBER(SEARCH("historical",F329)))),"P329",IF(OR(ISNUMBER(SEARCH("historical",F329)),H329="Low",ISNUMBER(SEARCH("to verify",F329)),ISNUMBER(SEARCH("requires verification",F329))),"Backlog","P330")))))</f>
        <v/>
      </c>
    </row>
    <row r="330" ht="15.75" customHeight="1">
      <c r="H330" s="13"/>
      <c r="L330" s="13" t="str">
        <f>IF(A330="","",IF(OR(COUNTIF('Priority Rules'!$A$2:$A$24,A330)&gt;0,COUNTIF('Priority Rules'!$B$2:$B$8,B330)&gt;0),"P329",IF(COUNTIF('Priority Rules'!$C$2:$C$9,A330)&gt;0,"P330",IF(AND(OR(ISNUMBER(SEARCH("Varadero",C330)),ISNUMBER(SEARCH("Cayo Coco",C330)),ISNUMBER(SEARCH("Cayo Santa María",C330)),ISNUMBER(SEARCH("Cayo Santa Maria",C330)),ISNUMBER(SEARCH("Cayo Guillermo",C330)),ISNUMBER(SEARCH("Cayo Las Brujas",C330)),ISNUMBER(SEARCH("Cayo Ensenachos",C330)),ISNUMBER(SEARCH("Holguín",C330)),ISNUMBER(SEARCH("Holguin",C330)),ISNUMBER(SEARCH("Havana",C330)),ISNUMBER(SEARCH("Old Havana",C330)),ISNUMBER(SEARCH("Vedado",C330)),ISNUMBER(SEARCH("Miramar",C330))),NOT(ISNUMBER(SEARCH("historical",F330)))),"P330",IF(OR(ISNUMBER(SEARCH("historical",F330)),H330="Low",ISNUMBER(SEARCH("to verify",F330)),ISNUMBER(SEARCH("requires verification",F330))),"Backlog","P331")))))</f>
        <v/>
      </c>
    </row>
    <row r="331" ht="15.75" customHeight="1">
      <c r="H331" s="13"/>
      <c r="L331" s="13" t="str">
        <f>IF(A331="","",IF(OR(COUNTIF('Priority Rules'!$A$2:$A$24,A331)&gt;0,COUNTIF('Priority Rules'!$B$2:$B$8,B331)&gt;0),"P330",IF(COUNTIF('Priority Rules'!$C$2:$C$9,A331)&gt;0,"P331",IF(AND(OR(ISNUMBER(SEARCH("Varadero",C331)),ISNUMBER(SEARCH("Cayo Coco",C331)),ISNUMBER(SEARCH("Cayo Santa María",C331)),ISNUMBER(SEARCH("Cayo Santa Maria",C331)),ISNUMBER(SEARCH("Cayo Guillermo",C331)),ISNUMBER(SEARCH("Cayo Las Brujas",C331)),ISNUMBER(SEARCH("Cayo Ensenachos",C331)),ISNUMBER(SEARCH("Holguín",C331)),ISNUMBER(SEARCH("Holguin",C331)),ISNUMBER(SEARCH("Havana",C331)),ISNUMBER(SEARCH("Old Havana",C331)),ISNUMBER(SEARCH("Vedado",C331)),ISNUMBER(SEARCH("Miramar",C331))),NOT(ISNUMBER(SEARCH("historical",F331)))),"P331",IF(OR(ISNUMBER(SEARCH("historical",F331)),H331="Low",ISNUMBER(SEARCH("to verify",F331)),ISNUMBER(SEARCH("requires verification",F331))),"Backlog","P332")))))</f>
        <v/>
      </c>
    </row>
    <row r="332" ht="15.75" customHeight="1">
      <c r="H332" s="13"/>
      <c r="L332" s="13" t="str">
        <f>IF(A332="","",IF(OR(COUNTIF('Priority Rules'!$A$2:$A$24,A332)&gt;0,COUNTIF('Priority Rules'!$B$2:$B$8,B332)&gt;0),"P331",IF(COUNTIF('Priority Rules'!$C$2:$C$9,A332)&gt;0,"P332",IF(AND(OR(ISNUMBER(SEARCH("Varadero",C332)),ISNUMBER(SEARCH("Cayo Coco",C332)),ISNUMBER(SEARCH("Cayo Santa María",C332)),ISNUMBER(SEARCH("Cayo Santa Maria",C332)),ISNUMBER(SEARCH("Cayo Guillermo",C332)),ISNUMBER(SEARCH("Cayo Las Brujas",C332)),ISNUMBER(SEARCH("Cayo Ensenachos",C332)),ISNUMBER(SEARCH("Holguín",C332)),ISNUMBER(SEARCH("Holguin",C332)),ISNUMBER(SEARCH("Havana",C332)),ISNUMBER(SEARCH("Old Havana",C332)),ISNUMBER(SEARCH("Vedado",C332)),ISNUMBER(SEARCH("Miramar",C332))),NOT(ISNUMBER(SEARCH("historical",F332)))),"P332",IF(OR(ISNUMBER(SEARCH("historical",F332)),H332="Low",ISNUMBER(SEARCH("to verify",F332)),ISNUMBER(SEARCH("requires verification",F332))),"Backlog","P333")))))</f>
        <v/>
      </c>
    </row>
    <row r="333" ht="15.75" customHeight="1">
      <c r="H333" s="13"/>
      <c r="L333" s="13" t="str">
        <f>IF(A333="","",IF(OR(COUNTIF('Priority Rules'!$A$2:$A$24,A333)&gt;0,COUNTIF('Priority Rules'!$B$2:$B$8,B333)&gt;0),"P332",IF(COUNTIF('Priority Rules'!$C$2:$C$9,A333)&gt;0,"P333",IF(AND(OR(ISNUMBER(SEARCH("Varadero",C333)),ISNUMBER(SEARCH("Cayo Coco",C333)),ISNUMBER(SEARCH("Cayo Santa María",C333)),ISNUMBER(SEARCH("Cayo Santa Maria",C333)),ISNUMBER(SEARCH("Cayo Guillermo",C333)),ISNUMBER(SEARCH("Cayo Las Brujas",C333)),ISNUMBER(SEARCH("Cayo Ensenachos",C333)),ISNUMBER(SEARCH("Holguín",C333)),ISNUMBER(SEARCH("Holguin",C333)),ISNUMBER(SEARCH("Havana",C333)),ISNUMBER(SEARCH("Old Havana",C333)),ISNUMBER(SEARCH("Vedado",C333)),ISNUMBER(SEARCH("Miramar",C333))),NOT(ISNUMBER(SEARCH("historical",F333)))),"P333",IF(OR(ISNUMBER(SEARCH("historical",F333)),H333="Low",ISNUMBER(SEARCH("to verify",F333)),ISNUMBER(SEARCH("requires verification",F333))),"Backlog","P334")))))</f>
        <v/>
      </c>
    </row>
    <row r="334" ht="15.75" customHeight="1">
      <c r="H334" s="13"/>
      <c r="L334" s="13" t="str">
        <f>IF(A334="","",IF(OR(COUNTIF('Priority Rules'!$A$2:$A$24,A334)&gt;0,COUNTIF('Priority Rules'!$B$2:$B$8,B334)&gt;0),"P333",IF(COUNTIF('Priority Rules'!$C$2:$C$9,A334)&gt;0,"P334",IF(AND(OR(ISNUMBER(SEARCH("Varadero",C334)),ISNUMBER(SEARCH("Cayo Coco",C334)),ISNUMBER(SEARCH("Cayo Santa María",C334)),ISNUMBER(SEARCH("Cayo Santa Maria",C334)),ISNUMBER(SEARCH("Cayo Guillermo",C334)),ISNUMBER(SEARCH("Cayo Las Brujas",C334)),ISNUMBER(SEARCH("Cayo Ensenachos",C334)),ISNUMBER(SEARCH("Holguín",C334)),ISNUMBER(SEARCH("Holguin",C334)),ISNUMBER(SEARCH("Havana",C334)),ISNUMBER(SEARCH("Old Havana",C334)),ISNUMBER(SEARCH("Vedado",C334)),ISNUMBER(SEARCH("Miramar",C334))),NOT(ISNUMBER(SEARCH("historical",F334)))),"P334",IF(OR(ISNUMBER(SEARCH("historical",F334)),H334="Low",ISNUMBER(SEARCH("to verify",F334)),ISNUMBER(SEARCH("requires verification",F334))),"Backlog","P335")))))</f>
        <v/>
      </c>
    </row>
    <row r="335" ht="15.75" customHeight="1">
      <c r="H335" s="13"/>
      <c r="L335" s="13" t="str">
        <f>IF(A335="","",IF(OR(COUNTIF('Priority Rules'!$A$2:$A$24,A335)&gt;0,COUNTIF('Priority Rules'!$B$2:$B$8,B335)&gt;0),"P334",IF(COUNTIF('Priority Rules'!$C$2:$C$9,A335)&gt;0,"P335",IF(AND(OR(ISNUMBER(SEARCH("Varadero",C335)),ISNUMBER(SEARCH("Cayo Coco",C335)),ISNUMBER(SEARCH("Cayo Santa María",C335)),ISNUMBER(SEARCH("Cayo Santa Maria",C335)),ISNUMBER(SEARCH("Cayo Guillermo",C335)),ISNUMBER(SEARCH("Cayo Las Brujas",C335)),ISNUMBER(SEARCH("Cayo Ensenachos",C335)),ISNUMBER(SEARCH("Holguín",C335)),ISNUMBER(SEARCH("Holguin",C335)),ISNUMBER(SEARCH("Havana",C335)),ISNUMBER(SEARCH("Old Havana",C335)),ISNUMBER(SEARCH("Vedado",C335)),ISNUMBER(SEARCH("Miramar",C335))),NOT(ISNUMBER(SEARCH("historical",F335)))),"P335",IF(OR(ISNUMBER(SEARCH("historical",F335)),H335="Low",ISNUMBER(SEARCH("to verify",F335)),ISNUMBER(SEARCH("requires verification",F335))),"Backlog","P336")))))</f>
        <v/>
      </c>
    </row>
    <row r="336" ht="15.75" customHeight="1">
      <c r="H336" s="13"/>
      <c r="L336" s="13" t="str">
        <f>IF(A336="","",IF(OR(COUNTIF('Priority Rules'!$A$2:$A$24,A336)&gt;0,COUNTIF('Priority Rules'!$B$2:$B$8,B336)&gt;0),"P335",IF(COUNTIF('Priority Rules'!$C$2:$C$9,A336)&gt;0,"P336",IF(AND(OR(ISNUMBER(SEARCH("Varadero",C336)),ISNUMBER(SEARCH("Cayo Coco",C336)),ISNUMBER(SEARCH("Cayo Santa María",C336)),ISNUMBER(SEARCH("Cayo Santa Maria",C336)),ISNUMBER(SEARCH("Cayo Guillermo",C336)),ISNUMBER(SEARCH("Cayo Las Brujas",C336)),ISNUMBER(SEARCH("Cayo Ensenachos",C336)),ISNUMBER(SEARCH("Holguín",C336)),ISNUMBER(SEARCH("Holguin",C336)),ISNUMBER(SEARCH("Havana",C336)),ISNUMBER(SEARCH("Old Havana",C336)),ISNUMBER(SEARCH("Vedado",C336)),ISNUMBER(SEARCH("Miramar",C336))),NOT(ISNUMBER(SEARCH("historical",F336)))),"P336",IF(OR(ISNUMBER(SEARCH("historical",F336)),H336="Low",ISNUMBER(SEARCH("to verify",F336)),ISNUMBER(SEARCH("requires verification",F336))),"Backlog","P337")))))</f>
        <v/>
      </c>
    </row>
    <row r="337" ht="15.75" customHeight="1">
      <c r="H337" s="13"/>
      <c r="L337" s="13" t="str">
        <f>IF(A337="","",IF(OR(COUNTIF('Priority Rules'!$A$2:$A$24,A337)&gt;0,COUNTIF('Priority Rules'!$B$2:$B$8,B337)&gt;0),"P336",IF(COUNTIF('Priority Rules'!$C$2:$C$9,A337)&gt;0,"P337",IF(AND(OR(ISNUMBER(SEARCH("Varadero",C337)),ISNUMBER(SEARCH("Cayo Coco",C337)),ISNUMBER(SEARCH("Cayo Santa María",C337)),ISNUMBER(SEARCH("Cayo Santa Maria",C337)),ISNUMBER(SEARCH("Cayo Guillermo",C337)),ISNUMBER(SEARCH("Cayo Las Brujas",C337)),ISNUMBER(SEARCH("Cayo Ensenachos",C337)),ISNUMBER(SEARCH("Holguín",C337)),ISNUMBER(SEARCH("Holguin",C337)),ISNUMBER(SEARCH("Havana",C337)),ISNUMBER(SEARCH("Old Havana",C337)),ISNUMBER(SEARCH("Vedado",C337)),ISNUMBER(SEARCH("Miramar",C337))),NOT(ISNUMBER(SEARCH("historical",F337)))),"P337",IF(OR(ISNUMBER(SEARCH("historical",F337)),H337="Low",ISNUMBER(SEARCH("to verify",F337)),ISNUMBER(SEARCH("requires verification",F337))),"Backlog","P338")))))</f>
        <v/>
      </c>
    </row>
    <row r="338" ht="15.75" customHeight="1">
      <c r="H338" s="13"/>
      <c r="L338" s="13" t="str">
        <f>IF(A338="","",IF(OR(COUNTIF('Priority Rules'!$A$2:$A$24,A338)&gt;0,COUNTIF('Priority Rules'!$B$2:$B$8,B338)&gt;0),"P337",IF(COUNTIF('Priority Rules'!$C$2:$C$9,A338)&gt;0,"P338",IF(AND(OR(ISNUMBER(SEARCH("Varadero",C338)),ISNUMBER(SEARCH("Cayo Coco",C338)),ISNUMBER(SEARCH("Cayo Santa María",C338)),ISNUMBER(SEARCH("Cayo Santa Maria",C338)),ISNUMBER(SEARCH("Cayo Guillermo",C338)),ISNUMBER(SEARCH("Cayo Las Brujas",C338)),ISNUMBER(SEARCH("Cayo Ensenachos",C338)),ISNUMBER(SEARCH("Holguín",C338)),ISNUMBER(SEARCH("Holguin",C338)),ISNUMBER(SEARCH("Havana",C338)),ISNUMBER(SEARCH("Old Havana",C338)),ISNUMBER(SEARCH("Vedado",C338)),ISNUMBER(SEARCH("Miramar",C338))),NOT(ISNUMBER(SEARCH("historical",F338)))),"P338",IF(OR(ISNUMBER(SEARCH("historical",F338)),H338="Low",ISNUMBER(SEARCH("to verify",F338)),ISNUMBER(SEARCH("requires verification",F338))),"Backlog","P339")))))</f>
        <v/>
      </c>
    </row>
    <row r="339" ht="15.75" customHeight="1">
      <c r="H339" s="13"/>
      <c r="L339" s="13" t="str">
        <f>IF(A339="","",IF(OR(COUNTIF('Priority Rules'!$A$2:$A$24,A339)&gt;0,COUNTIF('Priority Rules'!$B$2:$B$8,B339)&gt;0),"P338",IF(COUNTIF('Priority Rules'!$C$2:$C$9,A339)&gt;0,"P339",IF(AND(OR(ISNUMBER(SEARCH("Varadero",C339)),ISNUMBER(SEARCH("Cayo Coco",C339)),ISNUMBER(SEARCH("Cayo Santa María",C339)),ISNUMBER(SEARCH("Cayo Santa Maria",C339)),ISNUMBER(SEARCH("Cayo Guillermo",C339)),ISNUMBER(SEARCH("Cayo Las Brujas",C339)),ISNUMBER(SEARCH("Cayo Ensenachos",C339)),ISNUMBER(SEARCH("Holguín",C339)),ISNUMBER(SEARCH("Holguin",C339)),ISNUMBER(SEARCH("Havana",C339)),ISNUMBER(SEARCH("Old Havana",C339)),ISNUMBER(SEARCH("Vedado",C339)),ISNUMBER(SEARCH("Miramar",C339))),NOT(ISNUMBER(SEARCH("historical",F339)))),"P339",IF(OR(ISNUMBER(SEARCH("historical",F339)),H339="Low",ISNUMBER(SEARCH("to verify",F339)),ISNUMBER(SEARCH("requires verification",F339))),"Backlog","P340")))))</f>
        <v/>
      </c>
    </row>
    <row r="340" ht="15.75" customHeight="1">
      <c r="H340" s="13"/>
      <c r="L340" s="13" t="str">
        <f>IF(A340="","",IF(OR(COUNTIF('Priority Rules'!$A$2:$A$24,A340)&gt;0,COUNTIF('Priority Rules'!$B$2:$B$8,B340)&gt;0),"P339",IF(COUNTIF('Priority Rules'!$C$2:$C$9,A340)&gt;0,"P340",IF(AND(OR(ISNUMBER(SEARCH("Varadero",C340)),ISNUMBER(SEARCH("Cayo Coco",C340)),ISNUMBER(SEARCH("Cayo Santa María",C340)),ISNUMBER(SEARCH("Cayo Santa Maria",C340)),ISNUMBER(SEARCH("Cayo Guillermo",C340)),ISNUMBER(SEARCH("Cayo Las Brujas",C340)),ISNUMBER(SEARCH("Cayo Ensenachos",C340)),ISNUMBER(SEARCH("Holguín",C340)),ISNUMBER(SEARCH("Holguin",C340)),ISNUMBER(SEARCH("Havana",C340)),ISNUMBER(SEARCH("Old Havana",C340)),ISNUMBER(SEARCH("Vedado",C340)),ISNUMBER(SEARCH("Miramar",C340))),NOT(ISNUMBER(SEARCH("historical",F340)))),"P340",IF(OR(ISNUMBER(SEARCH("historical",F340)),H340="Low",ISNUMBER(SEARCH("to verify",F340)),ISNUMBER(SEARCH("requires verification",F340))),"Backlog","P341")))))</f>
        <v/>
      </c>
    </row>
    <row r="341" ht="15.75" customHeight="1">
      <c r="H341" s="13"/>
      <c r="L341" s="13" t="str">
        <f>IF(A341="","",IF(OR(COUNTIF('Priority Rules'!$A$2:$A$24,A341)&gt;0,COUNTIF('Priority Rules'!$B$2:$B$8,B341)&gt;0),"P340",IF(COUNTIF('Priority Rules'!$C$2:$C$9,A341)&gt;0,"P341",IF(AND(OR(ISNUMBER(SEARCH("Varadero",C341)),ISNUMBER(SEARCH("Cayo Coco",C341)),ISNUMBER(SEARCH("Cayo Santa María",C341)),ISNUMBER(SEARCH("Cayo Santa Maria",C341)),ISNUMBER(SEARCH("Cayo Guillermo",C341)),ISNUMBER(SEARCH("Cayo Las Brujas",C341)),ISNUMBER(SEARCH("Cayo Ensenachos",C341)),ISNUMBER(SEARCH("Holguín",C341)),ISNUMBER(SEARCH("Holguin",C341)),ISNUMBER(SEARCH("Havana",C341)),ISNUMBER(SEARCH("Old Havana",C341)),ISNUMBER(SEARCH("Vedado",C341)),ISNUMBER(SEARCH("Miramar",C341))),NOT(ISNUMBER(SEARCH("historical",F341)))),"P341",IF(OR(ISNUMBER(SEARCH("historical",F341)),H341="Low",ISNUMBER(SEARCH("to verify",F341)),ISNUMBER(SEARCH("requires verification",F341))),"Backlog","P342")))))</f>
        <v/>
      </c>
    </row>
    <row r="342" ht="15.75" customHeight="1">
      <c r="H342" s="13"/>
      <c r="L342" s="13" t="str">
        <f>IF(A342="","",IF(OR(COUNTIF('Priority Rules'!$A$2:$A$24,A342)&gt;0,COUNTIF('Priority Rules'!$B$2:$B$8,B342)&gt;0),"P341",IF(COUNTIF('Priority Rules'!$C$2:$C$9,A342)&gt;0,"P342",IF(AND(OR(ISNUMBER(SEARCH("Varadero",C342)),ISNUMBER(SEARCH("Cayo Coco",C342)),ISNUMBER(SEARCH("Cayo Santa María",C342)),ISNUMBER(SEARCH("Cayo Santa Maria",C342)),ISNUMBER(SEARCH("Cayo Guillermo",C342)),ISNUMBER(SEARCH("Cayo Las Brujas",C342)),ISNUMBER(SEARCH("Cayo Ensenachos",C342)),ISNUMBER(SEARCH("Holguín",C342)),ISNUMBER(SEARCH("Holguin",C342)),ISNUMBER(SEARCH("Havana",C342)),ISNUMBER(SEARCH("Old Havana",C342)),ISNUMBER(SEARCH("Vedado",C342)),ISNUMBER(SEARCH("Miramar",C342))),NOT(ISNUMBER(SEARCH("historical",F342)))),"P342",IF(OR(ISNUMBER(SEARCH("historical",F342)),H342="Low",ISNUMBER(SEARCH("to verify",F342)),ISNUMBER(SEARCH("requires verification",F342))),"Backlog","P343")))))</f>
        <v/>
      </c>
    </row>
    <row r="343" ht="15.75" customHeight="1">
      <c r="H343" s="13"/>
      <c r="L343" s="13" t="str">
        <f>IF(A343="","",IF(OR(COUNTIF('Priority Rules'!$A$2:$A$24,A343)&gt;0,COUNTIF('Priority Rules'!$B$2:$B$8,B343)&gt;0),"P342",IF(COUNTIF('Priority Rules'!$C$2:$C$9,A343)&gt;0,"P343",IF(AND(OR(ISNUMBER(SEARCH("Varadero",C343)),ISNUMBER(SEARCH("Cayo Coco",C343)),ISNUMBER(SEARCH("Cayo Santa María",C343)),ISNUMBER(SEARCH("Cayo Santa Maria",C343)),ISNUMBER(SEARCH("Cayo Guillermo",C343)),ISNUMBER(SEARCH("Cayo Las Brujas",C343)),ISNUMBER(SEARCH("Cayo Ensenachos",C343)),ISNUMBER(SEARCH("Holguín",C343)),ISNUMBER(SEARCH("Holguin",C343)),ISNUMBER(SEARCH("Havana",C343)),ISNUMBER(SEARCH("Old Havana",C343)),ISNUMBER(SEARCH("Vedado",C343)),ISNUMBER(SEARCH("Miramar",C343))),NOT(ISNUMBER(SEARCH("historical",F343)))),"P343",IF(OR(ISNUMBER(SEARCH("historical",F343)),H343="Low",ISNUMBER(SEARCH("to verify",F343)),ISNUMBER(SEARCH("requires verification",F343))),"Backlog","P344")))))</f>
        <v/>
      </c>
    </row>
    <row r="344" ht="15.75" customHeight="1">
      <c r="H344" s="13"/>
      <c r="L344" s="13" t="str">
        <f>IF(A344="","",IF(OR(COUNTIF('Priority Rules'!$A$2:$A$24,A344)&gt;0,COUNTIF('Priority Rules'!$B$2:$B$8,B344)&gt;0),"P343",IF(COUNTIF('Priority Rules'!$C$2:$C$9,A344)&gt;0,"P344",IF(AND(OR(ISNUMBER(SEARCH("Varadero",C344)),ISNUMBER(SEARCH("Cayo Coco",C344)),ISNUMBER(SEARCH("Cayo Santa María",C344)),ISNUMBER(SEARCH("Cayo Santa Maria",C344)),ISNUMBER(SEARCH("Cayo Guillermo",C344)),ISNUMBER(SEARCH("Cayo Las Brujas",C344)),ISNUMBER(SEARCH("Cayo Ensenachos",C344)),ISNUMBER(SEARCH("Holguín",C344)),ISNUMBER(SEARCH("Holguin",C344)),ISNUMBER(SEARCH("Havana",C344)),ISNUMBER(SEARCH("Old Havana",C344)),ISNUMBER(SEARCH("Vedado",C344)),ISNUMBER(SEARCH("Miramar",C344))),NOT(ISNUMBER(SEARCH("historical",F344)))),"P344",IF(OR(ISNUMBER(SEARCH("historical",F344)),H344="Low",ISNUMBER(SEARCH("to verify",F344)),ISNUMBER(SEARCH("requires verification",F344))),"Backlog","P345")))))</f>
        <v/>
      </c>
    </row>
    <row r="345" ht="15.75" customHeight="1">
      <c r="H345" s="13"/>
      <c r="L345" s="13" t="str">
        <f>IF(A345="","",IF(OR(COUNTIF('Priority Rules'!$A$2:$A$24,A345)&gt;0,COUNTIF('Priority Rules'!$B$2:$B$8,B345)&gt;0),"P344",IF(COUNTIF('Priority Rules'!$C$2:$C$9,A345)&gt;0,"P345",IF(AND(OR(ISNUMBER(SEARCH("Varadero",C345)),ISNUMBER(SEARCH("Cayo Coco",C345)),ISNUMBER(SEARCH("Cayo Santa María",C345)),ISNUMBER(SEARCH("Cayo Santa Maria",C345)),ISNUMBER(SEARCH("Cayo Guillermo",C345)),ISNUMBER(SEARCH("Cayo Las Brujas",C345)),ISNUMBER(SEARCH("Cayo Ensenachos",C345)),ISNUMBER(SEARCH("Holguín",C345)),ISNUMBER(SEARCH("Holguin",C345)),ISNUMBER(SEARCH("Havana",C345)),ISNUMBER(SEARCH("Old Havana",C345)),ISNUMBER(SEARCH("Vedado",C345)),ISNUMBER(SEARCH("Miramar",C345))),NOT(ISNUMBER(SEARCH("historical",F345)))),"P345",IF(OR(ISNUMBER(SEARCH("historical",F345)),H345="Low",ISNUMBER(SEARCH("to verify",F345)),ISNUMBER(SEARCH("requires verification",F345))),"Backlog","P346")))))</f>
        <v/>
      </c>
    </row>
    <row r="346" ht="15.75" customHeight="1">
      <c r="H346" s="13"/>
      <c r="L346" s="13" t="str">
        <f>IF(A346="","",IF(OR(COUNTIF('Priority Rules'!$A$2:$A$24,A346)&gt;0,COUNTIF('Priority Rules'!$B$2:$B$8,B346)&gt;0),"P345",IF(COUNTIF('Priority Rules'!$C$2:$C$9,A346)&gt;0,"P346",IF(AND(OR(ISNUMBER(SEARCH("Varadero",C346)),ISNUMBER(SEARCH("Cayo Coco",C346)),ISNUMBER(SEARCH("Cayo Santa María",C346)),ISNUMBER(SEARCH("Cayo Santa Maria",C346)),ISNUMBER(SEARCH("Cayo Guillermo",C346)),ISNUMBER(SEARCH("Cayo Las Brujas",C346)),ISNUMBER(SEARCH("Cayo Ensenachos",C346)),ISNUMBER(SEARCH("Holguín",C346)),ISNUMBER(SEARCH("Holguin",C346)),ISNUMBER(SEARCH("Havana",C346)),ISNUMBER(SEARCH("Old Havana",C346)),ISNUMBER(SEARCH("Vedado",C346)),ISNUMBER(SEARCH("Miramar",C346))),NOT(ISNUMBER(SEARCH("historical",F346)))),"P346",IF(OR(ISNUMBER(SEARCH("historical",F346)),H346="Low",ISNUMBER(SEARCH("to verify",F346)),ISNUMBER(SEARCH("requires verification",F346))),"Backlog","P347")))))</f>
        <v/>
      </c>
    </row>
    <row r="347" ht="15.75" customHeight="1">
      <c r="H347" s="13"/>
      <c r="L347" s="13" t="str">
        <f>IF(A347="","",IF(OR(COUNTIF('Priority Rules'!$A$2:$A$24,A347)&gt;0,COUNTIF('Priority Rules'!$B$2:$B$8,B347)&gt;0),"P346",IF(COUNTIF('Priority Rules'!$C$2:$C$9,A347)&gt;0,"P347",IF(AND(OR(ISNUMBER(SEARCH("Varadero",C347)),ISNUMBER(SEARCH("Cayo Coco",C347)),ISNUMBER(SEARCH("Cayo Santa María",C347)),ISNUMBER(SEARCH("Cayo Santa Maria",C347)),ISNUMBER(SEARCH("Cayo Guillermo",C347)),ISNUMBER(SEARCH("Cayo Las Brujas",C347)),ISNUMBER(SEARCH("Cayo Ensenachos",C347)),ISNUMBER(SEARCH("Holguín",C347)),ISNUMBER(SEARCH("Holguin",C347)),ISNUMBER(SEARCH("Havana",C347)),ISNUMBER(SEARCH("Old Havana",C347)),ISNUMBER(SEARCH("Vedado",C347)),ISNUMBER(SEARCH("Miramar",C347))),NOT(ISNUMBER(SEARCH("historical",F347)))),"P347",IF(OR(ISNUMBER(SEARCH("historical",F347)),H347="Low",ISNUMBER(SEARCH("to verify",F347)),ISNUMBER(SEARCH("requires verification",F347))),"Backlog","P348")))))</f>
        <v/>
      </c>
    </row>
    <row r="348" ht="15.75" customHeight="1">
      <c r="H348" s="13"/>
      <c r="L348" s="13" t="str">
        <f>IF(A348="","",IF(OR(COUNTIF('Priority Rules'!$A$2:$A$24,A348)&gt;0,COUNTIF('Priority Rules'!$B$2:$B$8,B348)&gt;0),"P347",IF(COUNTIF('Priority Rules'!$C$2:$C$9,A348)&gt;0,"P348",IF(AND(OR(ISNUMBER(SEARCH("Varadero",C348)),ISNUMBER(SEARCH("Cayo Coco",C348)),ISNUMBER(SEARCH("Cayo Santa María",C348)),ISNUMBER(SEARCH("Cayo Santa Maria",C348)),ISNUMBER(SEARCH("Cayo Guillermo",C348)),ISNUMBER(SEARCH("Cayo Las Brujas",C348)),ISNUMBER(SEARCH("Cayo Ensenachos",C348)),ISNUMBER(SEARCH("Holguín",C348)),ISNUMBER(SEARCH("Holguin",C348)),ISNUMBER(SEARCH("Havana",C348)),ISNUMBER(SEARCH("Old Havana",C348)),ISNUMBER(SEARCH("Vedado",C348)),ISNUMBER(SEARCH("Miramar",C348))),NOT(ISNUMBER(SEARCH("historical",F348)))),"P348",IF(OR(ISNUMBER(SEARCH("historical",F348)),H348="Low",ISNUMBER(SEARCH("to verify",F348)),ISNUMBER(SEARCH("requires verification",F348))),"Backlog","P349")))))</f>
        <v/>
      </c>
    </row>
    <row r="349" ht="15.75" customHeight="1">
      <c r="H349" s="13"/>
      <c r="L349" s="13" t="str">
        <f>IF(A349="","",IF(OR(COUNTIF('Priority Rules'!$A$2:$A$24,A349)&gt;0,COUNTIF('Priority Rules'!$B$2:$B$8,B349)&gt;0),"P348",IF(COUNTIF('Priority Rules'!$C$2:$C$9,A349)&gt;0,"P349",IF(AND(OR(ISNUMBER(SEARCH("Varadero",C349)),ISNUMBER(SEARCH("Cayo Coco",C349)),ISNUMBER(SEARCH("Cayo Santa María",C349)),ISNUMBER(SEARCH("Cayo Santa Maria",C349)),ISNUMBER(SEARCH("Cayo Guillermo",C349)),ISNUMBER(SEARCH("Cayo Las Brujas",C349)),ISNUMBER(SEARCH("Cayo Ensenachos",C349)),ISNUMBER(SEARCH("Holguín",C349)),ISNUMBER(SEARCH("Holguin",C349)),ISNUMBER(SEARCH("Havana",C349)),ISNUMBER(SEARCH("Old Havana",C349)),ISNUMBER(SEARCH("Vedado",C349)),ISNUMBER(SEARCH("Miramar",C349))),NOT(ISNUMBER(SEARCH("historical",F349)))),"P349",IF(OR(ISNUMBER(SEARCH("historical",F349)),H349="Low",ISNUMBER(SEARCH("to verify",F349)),ISNUMBER(SEARCH("requires verification",F349))),"Backlog","P350")))))</f>
        <v/>
      </c>
    </row>
    <row r="350" ht="15.75" customHeight="1">
      <c r="H350" s="13"/>
      <c r="L350" s="13" t="str">
        <f>IF(A350="","",IF(OR(COUNTIF('Priority Rules'!$A$2:$A$24,A350)&gt;0,COUNTIF('Priority Rules'!$B$2:$B$8,B350)&gt;0),"P349",IF(COUNTIF('Priority Rules'!$C$2:$C$9,A350)&gt;0,"P350",IF(AND(OR(ISNUMBER(SEARCH("Varadero",C350)),ISNUMBER(SEARCH("Cayo Coco",C350)),ISNUMBER(SEARCH("Cayo Santa María",C350)),ISNUMBER(SEARCH("Cayo Santa Maria",C350)),ISNUMBER(SEARCH("Cayo Guillermo",C350)),ISNUMBER(SEARCH("Cayo Las Brujas",C350)),ISNUMBER(SEARCH("Cayo Ensenachos",C350)),ISNUMBER(SEARCH("Holguín",C350)),ISNUMBER(SEARCH("Holguin",C350)),ISNUMBER(SEARCH("Havana",C350)),ISNUMBER(SEARCH("Old Havana",C350)),ISNUMBER(SEARCH("Vedado",C350)),ISNUMBER(SEARCH("Miramar",C350))),NOT(ISNUMBER(SEARCH("historical",F350)))),"P350",IF(OR(ISNUMBER(SEARCH("historical",F350)),H350="Low",ISNUMBER(SEARCH("to verify",F350)),ISNUMBER(SEARCH("requires verification",F350))),"Backlog","P351")))))</f>
        <v/>
      </c>
    </row>
    <row r="351" ht="15.75" customHeight="1">
      <c r="H351" s="13"/>
      <c r="L351" s="13" t="str">
        <f>IF(A351="","",IF(OR(COUNTIF('Priority Rules'!$A$2:$A$24,A351)&gt;0,COUNTIF('Priority Rules'!$B$2:$B$8,B351)&gt;0),"P350",IF(COUNTIF('Priority Rules'!$C$2:$C$9,A351)&gt;0,"P351",IF(AND(OR(ISNUMBER(SEARCH("Varadero",C351)),ISNUMBER(SEARCH("Cayo Coco",C351)),ISNUMBER(SEARCH("Cayo Santa María",C351)),ISNUMBER(SEARCH("Cayo Santa Maria",C351)),ISNUMBER(SEARCH("Cayo Guillermo",C351)),ISNUMBER(SEARCH("Cayo Las Brujas",C351)),ISNUMBER(SEARCH("Cayo Ensenachos",C351)),ISNUMBER(SEARCH("Holguín",C351)),ISNUMBER(SEARCH("Holguin",C351)),ISNUMBER(SEARCH("Havana",C351)),ISNUMBER(SEARCH("Old Havana",C351)),ISNUMBER(SEARCH("Vedado",C351)),ISNUMBER(SEARCH("Miramar",C351))),NOT(ISNUMBER(SEARCH("historical",F351)))),"P351",IF(OR(ISNUMBER(SEARCH("historical",F351)),H351="Low",ISNUMBER(SEARCH("to verify",F351)),ISNUMBER(SEARCH("requires verification",F351))),"Backlog","P352")))))</f>
        <v/>
      </c>
    </row>
    <row r="352" ht="15.75" customHeight="1">
      <c r="H352" s="13"/>
      <c r="L352" s="13" t="str">
        <f>IF(A352="","",IF(OR(COUNTIF('Priority Rules'!$A$2:$A$24,A352)&gt;0,COUNTIF('Priority Rules'!$B$2:$B$8,B352)&gt;0),"P351",IF(COUNTIF('Priority Rules'!$C$2:$C$9,A352)&gt;0,"P352",IF(AND(OR(ISNUMBER(SEARCH("Varadero",C352)),ISNUMBER(SEARCH("Cayo Coco",C352)),ISNUMBER(SEARCH("Cayo Santa María",C352)),ISNUMBER(SEARCH("Cayo Santa Maria",C352)),ISNUMBER(SEARCH("Cayo Guillermo",C352)),ISNUMBER(SEARCH("Cayo Las Brujas",C352)),ISNUMBER(SEARCH("Cayo Ensenachos",C352)),ISNUMBER(SEARCH("Holguín",C352)),ISNUMBER(SEARCH("Holguin",C352)),ISNUMBER(SEARCH("Havana",C352)),ISNUMBER(SEARCH("Old Havana",C352)),ISNUMBER(SEARCH("Vedado",C352)),ISNUMBER(SEARCH("Miramar",C352))),NOT(ISNUMBER(SEARCH("historical",F352)))),"P352",IF(OR(ISNUMBER(SEARCH("historical",F352)),H352="Low",ISNUMBER(SEARCH("to verify",F352)),ISNUMBER(SEARCH("requires verification",F352))),"Backlog","P353")))))</f>
        <v/>
      </c>
    </row>
    <row r="353" ht="15.75" customHeight="1">
      <c r="H353" s="13"/>
      <c r="L353" s="13" t="str">
        <f>IF(A353="","",IF(OR(COUNTIF('Priority Rules'!$A$2:$A$24,A353)&gt;0,COUNTIF('Priority Rules'!$B$2:$B$8,B353)&gt;0),"P352",IF(COUNTIF('Priority Rules'!$C$2:$C$9,A353)&gt;0,"P353",IF(AND(OR(ISNUMBER(SEARCH("Varadero",C353)),ISNUMBER(SEARCH("Cayo Coco",C353)),ISNUMBER(SEARCH("Cayo Santa María",C353)),ISNUMBER(SEARCH("Cayo Santa Maria",C353)),ISNUMBER(SEARCH("Cayo Guillermo",C353)),ISNUMBER(SEARCH("Cayo Las Brujas",C353)),ISNUMBER(SEARCH("Cayo Ensenachos",C353)),ISNUMBER(SEARCH("Holguín",C353)),ISNUMBER(SEARCH("Holguin",C353)),ISNUMBER(SEARCH("Havana",C353)),ISNUMBER(SEARCH("Old Havana",C353)),ISNUMBER(SEARCH("Vedado",C353)),ISNUMBER(SEARCH("Miramar",C353))),NOT(ISNUMBER(SEARCH("historical",F353)))),"P353",IF(OR(ISNUMBER(SEARCH("historical",F353)),H353="Low",ISNUMBER(SEARCH("to verify",F353)),ISNUMBER(SEARCH("requires verification",F353))),"Backlog","P354")))))</f>
        <v/>
      </c>
    </row>
    <row r="354" ht="15.75" customHeight="1">
      <c r="H354" s="13"/>
      <c r="L354" s="13" t="str">
        <f>IF(A354="","",IF(OR(COUNTIF('Priority Rules'!$A$2:$A$24,A354)&gt;0,COUNTIF('Priority Rules'!$B$2:$B$8,B354)&gt;0),"P353",IF(COUNTIF('Priority Rules'!$C$2:$C$9,A354)&gt;0,"P354",IF(AND(OR(ISNUMBER(SEARCH("Varadero",C354)),ISNUMBER(SEARCH("Cayo Coco",C354)),ISNUMBER(SEARCH("Cayo Santa María",C354)),ISNUMBER(SEARCH("Cayo Santa Maria",C354)),ISNUMBER(SEARCH("Cayo Guillermo",C354)),ISNUMBER(SEARCH("Cayo Las Brujas",C354)),ISNUMBER(SEARCH("Cayo Ensenachos",C354)),ISNUMBER(SEARCH("Holguín",C354)),ISNUMBER(SEARCH("Holguin",C354)),ISNUMBER(SEARCH("Havana",C354)),ISNUMBER(SEARCH("Old Havana",C354)),ISNUMBER(SEARCH("Vedado",C354)),ISNUMBER(SEARCH("Miramar",C354))),NOT(ISNUMBER(SEARCH("historical",F354)))),"P354",IF(OR(ISNUMBER(SEARCH("historical",F354)),H354="Low",ISNUMBER(SEARCH("to verify",F354)),ISNUMBER(SEARCH("requires verification",F354))),"Backlog","P355")))))</f>
        <v/>
      </c>
    </row>
    <row r="355" ht="15.75" customHeight="1">
      <c r="H355" s="13"/>
      <c r="L355" s="13" t="str">
        <f>IF(A355="","",IF(OR(COUNTIF('Priority Rules'!$A$2:$A$24,A355)&gt;0,COUNTIF('Priority Rules'!$B$2:$B$8,B355)&gt;0),"P354",IF(COUNTIF('Priority Rules'!$C$2:$C$9,A355)&gt;0,"P355",IF(AND(OR(ISNUMBER(SEARCH("Varadero",C355)),ISNUMBER(SEARCH("Cayo Coco",C355)),ISNUMBER(SEARCH("Cayo Santa María",C355)),ISNUMBER(SEARCH("Cayo Santa Maria",C355)),ISNUMBER(SEARCH("Cayo Guillermo",C355)),ISNUMBER(SEARCH("Cayo Las Brujas",C355)),ISNUMBER(SEARCH("Cayo Ensenachos",C355)),ISNUMBER(SEARCH("Holguín",C355)),ISNUMBER(SEARCH("Holguin",C355)),ISNUMBER(SEARCH("Havana",C355)),ISNUMBER(SEARCH("Old Havana",C355)),ISNUMBER(SEARCH("Vedado",C355)),ISNUMBER(SEARCH("Miramar",C355))),NOT(ISNUMBER(SEARCH("historical",F355)))),"P355",IF(OR(ISNUMBER(SEARCH("historical",F355)),H355="Low",ISNUMBER(SEARCH("to verify",F355)),ISNUMBER(SEARCH("requires verification",F355))),"Backlog","P356")))))</f>
        <v/>
      </c>
    </row>
    <row r="356" ht="15.75" customHeight="1">
      <c r="H356" s="13"/>
      <c r="L356" s="13" t="str">
        <f>IF(A356="","",IF(OR(COUNTIF('Priority Rules'!$A$2:$A$24,A356)&gt;0,COUNTIF('Priority Rules'!$B$2:$B$8,B356)&gt;0),"P355",IF(COUNTIF('Priority Rules'!$C$2:$C$9,A356)&gt;0,"P356",IF(AND(OR(ISNUMBER(SEARCH("Varadero",C356)),ISNUMBER(SEARCH("Cayo Coco",C356)),ISNUMBER(SEARCH("Cayo Santa María",C356)),ISNUMBER(SEARCH("Cayo Santa Maria",C356)),ISNUMBER(SEARCH("Cayo Guillermo",C356)),ISNUMBER(SEARCH("Cayo Las Brujas",C356)),ISNUMBER(SEARCH("Cayo Ensenachos",C356)),ISNUMBER(SEARCH("Holguín",C356)),ISNUMBER(SEARCH("Holguin",C356)),ISNUMBER(SEARCH("Havana",C356)),ISNUMBER(SEARCH("Old Havana",C356)),ISNUMBER(SEARCH("Vedado",C356)),ISNUMBER(SEARCH("Miramar",C356))),NOT(ISNUMBER(SEARCH("historical",F356)))),"P356",IF(OR(ISNUMBER(SEARCH("historical",F356)),H356="Low",ISNUMBER(SEARCH("to verify",F356)),ISNUMBER(SEARCH("requires verification",F356))),"Backlog","P357")))))</f>
        <v/>
      </c>
    </row>
    <row r="357" ht="15.75" customHeight="1">
      <c r="H357" s="13"/>
      <c r="L357" s="13" t="str">
        <f>IF(A357="","",IF(OR(COUNTIF('Priority Rules'!$A$2:$A$24,A357)&gt;0,COUNTIF('Priority Rules'!$B$2:$B$8,B357)&gt;0),"P356",IF(COUNTIF('Priority Rules'!$C$2:$C$9,A357)&gt;0,"P357",IF(AND(OR(ISNUMBER(SEARCH("Varadero",C357)),ISNUMBER(SEARCH("Cayo Coco",C357)),ISNUMBER(SEARCH("Cayo Santa María",C357)),ISNUMBER(SEARCH("Cayo Santa Maria",C357)),ISNUMBER(SEARCH("Cayo Guillermo",C357)),ISNUMBER(SEARCH("Cayo Las Brujas",C357)),ISNUMBER(SEARCH("Cayo Ensenachos",C357)),ISNUMBER(SEARCH("Holguín",C357)),ISNUMBER(SEARCH("Holguin",C357)),ISNUMBER(SEARCH("Havana",C357)),ISNUMBER(SEARCH("Old Havana",C357)),ISNUMBER(SEARCH("Vedado",C357)),ISNUMBER(SEARCH("Miramar",C357))),NOT(ISNUMBER(SEARCH("historical",F357)))),"P357",IF(OR(ISNUMBER(SEARCH("historical",F357)),H357="Low",ISNUMBER(SEARCH("to verify",F357)),ISNUMBER(SEARCH("requires verification",F357))),"Backlog","P358")))))</f>
        <v/>
      </c>
    </row>
    <row r="358" ht="15.75" customHeight="1">
      <c r="H358" s="13"/>
      <c r="L358" s="13" t="str">
        <f>IF(A358="","",IF(OR(COUNTIF('Priority Rules'!$A$2:$A$24,A358)&gt;0,COUNTIF('Priority Rules'!$B$2:$B$8,B358)&gt;0),"P357",IF(COUNTIF('Priority Rules'!$C$2:$C$9,A358)&gt;0,"P358",IF(AND(OR(ISNUMBER(SEARCH("Varadero",C358)),ISNUMBER(SEARCH("Cayo Coco",C358)),ISNUMBER(SEARCH("Cayo Santa María",C358)),ISNUMBER(SEARCH("Cayo Santa Maria",C358)),ISNUMBER(SEARCH("Cayo Guillermo",C358)),ISNUMBER(SEARCH("Cayo Las Brujas",C358)),ISNUMBER(SEARCH("Cayo Ensenachos",C358)),ISNUMBER(SEARCH("Holguín",C358)),ISNUMBER(SEARCH("Holguin",C358)),ISNUMBER(SEARCH("Havana",C358)),ISNUMBER(SEARCH("Old Havana",C358)),ISNUMBER(SEARCH("Vedado",C358)),ISNUMBER(SEARCH("Miramar",C358))),NOT(ISNUMBER(SEARCH("historical",F358)))),"P358",IF(OR(ISNUMBER(SEARCH("historical",F358)),H358="Low",ISNUMBER(SEARCH("to verify",F358)),ISNUMBER(SEARCH("requires verification",F358))),"Backlog","P359")))))</f>
        <v/>
      </c>
    </row>
    <row r="359" ht="15.75" customHeight="1">
      <c r="H359" s="13"/>
      <c r="L359" s="13" t="str">
        <f>IF(A359="","",IF(OR(COUNTIF('Priority Rules'!$A$2:$A$24,A359)&gt;0,COUNTIF('Priority Rules'!$B$2:$B$8,B359)&gt;0),"P358",IF(COUNTIF('Priority Rules'!$C$2:$C$9,A359)&gt;0,"P359",IF(AND(OR(ISNUMBER(SEARCH("Varadero",C359)),ISNUMBER(SEARCH("Cayo Coco",C359)),ISNUMBER(SEARCH("Cayo Santa María",C359)),ISNUMBER(SEARCH("Cayo Santa Maria",C359)),ISNUMBER(SEARCH("Cayo Guillermo",C359)),ISNUMBER(SEARCH("Cayo Las Brujas",C359)),ISNUMBER(SEARCH("Cayo Ensenachos",C359)),ISNUMBER(SEARCH("Holguín",C359)),ISNUMBER(SEARCH("Holguin",C359)),ISNUMBER(SEARCH("Havana",C359)),ISNUMBER(SEARCH("Old Havana",C359)),ISNUMBER(SEARCH("Vedado",C359)),ISNUMBER(SEARCH("Miramar",C359))),NOT(ISNUMBER(SEARCH("historical",F359)))),"P359",IF(OR(ISNUMBER(SEARCH("historical",F359)),H359="Low",ISNUMBER(SEARCH("to verify",F359)),ISNUMBER(SEARCH("requires verification",F359))),"Backlog","P360")))))</f>
        <v/>
      </c>
    </row>
    <row r="360" ht="15.75" customHeight="1">
      <c r="H360" s="13"/>
      <c r="L360" s="13" t="str">
        <f>IF(A360="","",IF(OR(COUNTIF('Priority Rules'!$A$2:$A$24,A360)&gt;0,COUNTIF('Priority Rules'!$B$2:$B$8,B360)&gt;0),"P359",IF(COUNTIF('Priority Rules'!$C$2:$C$9,A360)&gt;0,"P360",IF(AND(OR(ISNUMBER(SEARCH("Varadero",C360)),ISNUMBER(SEARCH("Cayo Coco",C360)),ISNUMBER(SEARCH("Cayo Santa María",C360)),ISNUMBER(SEARCH("Cayo Santa Maria",C360)),ISNUMBER(SEARCH("Cayo Guillermo",C360)),ISNUMBER(SEARCH("Cayo Las Brujas",C360)),ISNUMBER(SEARCH("Cayo Ensenachos",C360)),ISNUMBER(SEARCH("Holguín",C360)),ISNUMBER(SEARCH("Holguin",C360)),ISNUMBER(SEARCH("Havana",C360)),ISNUMBER(SEARCH("Old Havana",C360)),ISNUMBER(SEARCH("Vedado",C360)),ISNUMBER(SEARCH("Miramar",C360))),NOT(ISNUMBER(SEARCH("historical",F360)))),"P360",IF(OR(ISNUMBER(SEARCH("historical",F360)),H360="Low",ISNUMBER(SEARCH("to verify",F360)),ISNUMBER(SEARCH("requires verification",F360))),"Backlog","P361")))))</f>
        <v/>
      </c>
    </row>
    <row r="361" ht="15.75" customHeight="1">
      <c r="H361" s="13"/>
      <c r="L361" s="13" t="str">
        <f>IF(A361="","",IF(OR(COUNTIF('Priority Rules'!$A$2:$A$24,A361)&gt;0,COUNTIF('Priority Rules'!$B$2:$B$8,B361)&gt;0),"P360",IF(COUNTIF('Priority Rules'!$C$2:$C$9,A361)&gt;0,"P361",IF(AND(OR(ISNUMBER(SEARCH("Varadero",C361)),ISNUMBER(SEARCH("Cayo Coco",C361)),ISNUMBER(SEARCH("Cayo Santa María",C361)),ISNUMBER(SEARCH("Cayo Santa Maria",C361)),ISNUMBER(SEARCH("Cayo Guillermo",C361)),ISNUMBER(SEARCH("Cayo Las Brujas",C361)),ISNUMBER(SEARCH("Cayo Ensenachos",C361)),ISNUMBER(SEARCH("Holguín",C361)),ISNUMBER(SEARCH("Holguin",C361)),ISNUMBER(SEARCH("Havana",C361)),ISNUMBER(SEARCH("Old Havana",C361)),ISNUMBER(SEARCH("Vedado",C361)),ISNUMBER(SEARCH("Miramar",C361))),NOT(ISNUMBER(SEARCH("historical",F361)))),"P361",IF(OR(ISNUMBER(SEARCH("historical",F361)),H361="Low",ISNUMBER(SEARCH("to verify",F361)),ISNUMBER(SEARCH("requires verification",F361))),"Backlog","P362")))))</f>
        <v/>
      </c>
    </row>
    <row r="362" ht="15.75" customHeight="1">
      <c r="H362" s="13"/>
      <c r="L362" s="13" t="str">
        <f>IF(A362="","",IF(OR(COUNTIF('Priority Rules'!$A$2:$A$24,A362)&gt;0,COUNTIF('Priority Rules'!$B$2:$B$8,B362)&gt;0),"P361",IF(COUNTIF('Priority Rules'!$C$2:$C$9,A362)&gt;0,"P362",IF(AND(OR(ISNUMBER(SEARCH("Varadero",C362)),ISNUMBER(SEARCH("Cayo Coco",C362)),ISNUMBER(SEARCH("Cayo Santa María",C362)),ISNUMBER(SEARCH("Cayo Santa Maria",C362)),ISNUMBER(SEARCH("Cayo Guillermo",C362)),ISNUMBER(SEARCH("Cayo Las Brujas",C362)),ISNUMBER(SEARCH("Cayo Ensenachos",C362)),ISNUMBER(SEARCH("Holguín",C362)),ISNUMBER(SEARCH("Holguin",C362)),ISNUMBER(SEARCH("Havana",C362)),ISNUMBER(SEARCH("Old Havana",C362)),ISNUMBER(SEARCH("Vedado",C362)),ISNUMBER(SEARCH("Miramar",C362))),NOT(ISNUMBER(SEARCH("historical",F362)))),"P362",IF(OR(ISNUMBER(SEARCH("historical",F362)),H362="Low",ISNUMBER(SEARCH("to verify",F362)),ISNUMBER(SEARCH("requires verification",F362))),"Backlog","P363")))))</f>
        <v/>
      </c>
    </row>
    <row r="363" ht="15.75" customHeight="1">
      <c r="H363" s="13"/>
      <c r="L363" s="13" t="str">
        <f>IF(A363="","",IF(OR(COUNTIF('Priority Rules'!$A$2:$A$24,A363)&gt;0,COUNTIF('Priority Rules'!$B$2:$B$8,B363)&gt;0),"P362",IF(COUNTIF('Priority Rules'!$C$2:$C$9,A363)&gt;0,"P363",IF(AND(OR(ISNUMBER(SEARCH("Varadero",C363)),ISNUMBER(SEARCH("Cayo Coco",C363)),ISNUMBER(SEARCH("Cayo Santa María",C363)),ISNUMBER(SEARCH("Cayo Santa Maria",C363)),ISNUMBER(SEARCH("Cayo Guillermo",C363)),ISNUMBER(SEARCH("Cayo Las Brujas",C363)),ISNUMBER(SEARCH("Cayo Ensenachos",C363)),ISNUMBER(SEARCH("Holguín",C363)),ISNUMBER(SEARCH("Holguin",C363)),ISNUMBER(SEARCH("Havana",C363)),ISNUMBER(SEARCH("Old Havana",C363)),ISNUMBER(SEARCH("Vedado",C363)),ISNUMBER(SEARCH("Miramar",C363))),NOT(ISNUMBER(SEARCH("historical",F363)))),"P363",IF(OR(ISNUMBER(SEARCH("historical",F363)),H363="Low",ISNUMBER(SEARCH("to verify",F363)),ISNUMBER(SEARCH("requires verification",F363))),"Backlog","P364")))))</f>
        <v/>
      </c>
    </row>
    <row r="364" ht="15.75" customHeight="1">
      <c r="H364" s="13"/>
      <c r="L364" s="13" t="str">
        <f>IF(A364="","",IF(OR(COUNTIF('Priority Rules'!$A$2:$A$24,A364)&gt;0,COUNTIF('Priority Rules'!$B$2:$B$8,B364)&gt;0),"P363",IF(COUNTIF('Priority Rules'!$C$2:$C$9,A364)&gt;0,"P364",IF(AND(OR(ISNUMBER(SEARCH("Varadero",C364)),ISNUMBER(SEARCH("Cayo Coco",C364)),ISNUMBER(SEARCH("Cayo Santa María",C364)),ISNUMBER(SEARCH("Cayo Santa Maria",C364)),ISNUMBER(SEARCH("Cayo Guillermo",C364)),ISNUMBER(SEARCH("Cayo Las Brujas",C364)),ISNUMBER(SEARCH("Cayo Ensenachos",C364)),ISNUMBER(SEARCH("Holguín",C364)),ISNUMBER(SEARCH("Holguin",C364)),ISNUMBER(SEARCH("Havana",C364)),ISNUMBER(SEARCH("Old Havana",C364)),ISNUMBER(SEARCH("Vedado",C364)),ISNUMBER(SEARCH("Miramar",C364))),NOT(ISNUMBER(SEARCH("historical",F364)))),"P364",IF(OR(ISNUMBER(SEARCH("historical",F364)),H364="Low",ISNUMBER(SEARCH("to verify",F364)),ISNUMBER(SEARCH("requires verification",F364))),"Backlog","P365")))))</f>
        <v/>
      </c>
    </row>
    <row r="365" ht="15.75" customHeight="1">
      <c r="H365" s="13"/>
      <c r="L365" s="13" t="str">
        <f>IF(A365="","",IF(OR(COUNTIF('Priority Rules'!$A$2:$A$24,A365)&gt;0,COUNTIF('Priority Rules'!$B$2:$B$8,B365)&gt;0),"P364",IF(COUNTIF('Priority Rules'!$C$2:$C$9,A365)&gt;0,"P365",IF(AND(OR(ISNUMBER(SEARCH("Varadero",C365)),ISNUMBER(SEARCH("Cayo Coco",C365)),ISNUMBER(SEARCH("Cayo Santa María",C365)),ISNUMBER(SEARCH("Cayo Santa Maria",C365)),ISNUMBER(SEARCH("Cayo Guillermo",C365)),ISNUMBER(SEARCH("Cayo Las Brujas",C365)),ISNUMBER(SEARCH("Cayo Ensenachos",C365)),ISNUMBER(SEARCH("Holguín",C365)),ISNUMBER(SEARCH("Holguin",C365)),ISNUMBER(SEARCH("Havana",C365)),ISNUMBER(SEARCH("Old Havana",C365)),ISNUMBER(SEARCH("Vedado",C365)),ISNUMBER(SEARCH("Miramar",C365))),NOT(ISNUMBER(SEARCH("historical",F365)))),"P365",IF(OR(ISNUMBER(SEARCH("historical",F365)),H365="Low",ISNUMBER(SEARCH("to verify",F365)),ISNUMBER(SEARCH("requires verification",F365))),"Backlog","P366")))))</f>
        <v/>
      </c>
    </row>
    <row r="366" ht="15.75" customHeight="1">
      <c r="H366" s="13"/>
      <c r="L366" s="13" t="str">
        <f>IF(A366="","",IF(OR(COUNTIF('Priority Rules'!$A$2:$A$24,A366)&gt;0,COUNTIF('Priority Rules'!$B$2:$B$8,B366)&gt;0),"P365",IF(COUNTIF('Priority Rules'!$C$2:$C$9,A366)&gt;0,"P366",IF(AND(OR(ISNUMBER(SEARCH("Varadero",C366)),ISNUMBER(SEARCH("Cayo Coco",C366)),ISNUMBER(SEARCH("Cayo Santa María",C366)),ISNUMBER(SEARCH("Cayo Santa Maria",C366)),ISNUMBER(SEARCH("Cayo Guillermo",C366)),ISNUMBER(SEARCH("Cayo Las Brujas",C366)),ISNUMBER(SEARCH("Cayo Ensenachos",C366)),ISNUMBER(SEARCH("Holguín",C366)),ISNUMBER(SEARCH("Holguin",C366)),ISNUMBER(SEARCH("Havana",C366)),ISNUMBER(SEARCH("Old Havana",C366)),ISNUMBER(SEARCH("Vedado",C366)),ISNUMBER(SEARCH("Miramar",C366))),NOT(ISNUMBER(SEARCH("historical",F366)))),"P366",IF(OR(ISNUMBER(SEARCH("historical",F366)),H366="Low",ISNUMBER(SEARCH("to verify",F366)),ISNUMBER(SEARCH("requires verification",F366))),"Backlog","P367")))))</f>
        <v/>
      </c>
    </row>
    <row r="367" ht="15.75" customHeight="1">
      <c r="H367" s="13"/>
      <c r="L367" s="13" t="str">
        <f>IF(A367="","",IF(OR(COUNTIF('Priority Rules'!$A$2:$A$24,A367)&gt;0,COUNTIF('Priority Rules'!$B$2:$B$8,B367)&gt;0),"P366",IF(COUNTIF('Priority Rules'!$C$2:$C$9,A367)&gt;0,"P367",IF(AND(OR(ISNUMBER(SEARCH("Varadero",C367)),ISNUMBER(SEARCH("Cayo Coco",C367)),ISNUMBER(SEARCH("Cayo Santa María",C367)),ISNUMBER(SEARCH("Cayo Santa Maria",C367)),ISNUMBER(SEARCH("Cayo Guillermo",C367)),ISNUMBER(SEARCH("Cayo Las Brujas",C367)),ISNUMBER(SEARCH("Cayo Ensenachos",C367)),ISNUMBER(SEARCH("Holguín",C367)),ISNUMBER(SEARCH("Holguin",C367)),ISNUMBER(SEARCH("Havana",C367)),ISNUMBER(SEARCH("Old Havana",C367)),ISNUMBER(SEARCH("Vedado",C367)),ISNUMBER(SEARCH("Miramar",C367))),NOT(ISNUMBER(SEARCH("historical",F367)))),"P367",IF(OR(ISNUMBER(SEARCH("historical",F367)),H367="Low",ISNUMBER(SEARCH("to verify",F367)),ISNUMBER(SEARCH("requires verification",F367))),"Backlog","P368")))))</f>
        <v/>
      </c>
    </row>
    <row r="368" ht="15.75" customHeight="1">
      <c r="H368" s="13"/>
      <c r="L368" s="13" t="str">
        <f>IF(A368="","",IF(OR(COUNTIF('Priority Rules'!$A$2:$A$24,A368)&gt;0,COUNTIF('Priority Rules'!$B$2:$B$8,B368)&gt;0),"P367",IF(COUNTIF('Priority Rules'!$C$2:$C$9,A368)&gt;0,"P368",IF(AND(OR(ISNUMBER(SEARCH("Varadero",C368)),ISNUMBER(SEARCH("Cayo Coco",C368)),ISNUMBER(SEARCH("Cayo Santa María",C368)),ISNUMBER(SEARCH("Cayo Santa Maria",C368)),ISNUMBER(SEARCH("Cayo Guillermo",C368)),ISNUMBER(SEARCH("Cayo Las Brujas",C368)),ISNUMBER(SEARCH("Cayo Ensenachos",C368)),ISNUMBER(SEARCH("Holguín",C368)),ISNUMBER(SEARCH("Holguin",C368)),ISNUMBER(SEARCH("Havana",C368)),ISNUMBER(SEARCH("Old Havana",C368)),ISNUMBER(SEARCH("Vedado",C368)),ISNUMBER(SEARCH("Miramar",C368))),NOT(ISNUMBER(SEARCH("historical",F368)))),"P368",IF(OR(ISNUMBER(SEARCH("historical",F368)),H368="Low",ISNUMBER(SEARCH("to verify",F368)),ISNUMBER(SEARCH("requires verification",F368))),"Backlog","P369")))))</f>
        <v/>
      </c>
    </row>
    <row r="369" ht="15.75" customHeight="1">
      <c r="H369" s="13"/>
      <c r="L369" s="13" t="str">
        <f>IF(A369="","",IF(OR(COUNTIF('Priority Rules'!$A$2:$A$24,A369)&gt;0,COUNTIF('Priority Rules'!$B$2:$B$8,B369)&gt;0),"P368",IF(COUNTIF('Priority Rules'!$C$2:$C$9,A369)&gt;0,"P369",IF(AND(OR(ISNUMBER(SEARCH("Varadero",C369)),ISNUMBER(SEARCH("Cayo Coco",C369)),ISNUMBER(SEARCH("Cayo Santa María",C369)),ISNUMBER(SEARCH("Cayo Santa Maria",C369)),ISNUMBER(SEARCH("Cayo Guillermo",C369)),ISNUMBER(SEARCH("Cayo Las Brujas",C369)),ISNUMBER(SEARCH("Cayo Ensenachos",C369)),ISNUMBER(SEARCH("Holguín",C369)),ISNUMBER(SEARCH("Holguin",C369)),ISNUMBER(SEARCH("Havana",C369)),ISNUMBER(SEARCH("Old Havana",C369)),ISNUMBER(SEARCH("Vedado",C369)),ISNUMBER(SEARCH("Miramar",C369))),NOT(ISNUMBER(SEARCH("historical",F369)))),"P369",IF(OR(ISNUMBER(SEARCH("historical",F369)),H369="Low",ISNUMBER(SEARCH("to verify",F369)),ISNUMBER(SEARCH("requires verification",F369))),"Backlog","P370")))))</f>
        <v/>
      </c>
    </row>
    <row r="370" ht="15.75" customHeight="1">
      <c r="H370" s="13"/>
      <c r="L370" s="13" t="str">
        <f>IF(A370="","",IF(OR(COUNTIF('Priority Rules'!$A$2:$A$24,A370)&gt;0,COUNTIF('Priority Rules'!$B$2:$B$8,B370)&gt;0),"P369",IF(COUNTIF('Priority Rules'!$C$2:$C$9,A370)&gt;0,"P370",IF(AND(OR(ISNUMBER(SEARCH("Varadero",C370)),ISNUMBER(SEARCH("Cayo Coco",C370)),ISNUMBER(SEARCH("Cayo Santa María",C370)),ISNUMBER(SEARCH("Cayo Santa Maria",C370)),ISNUMBER(SEARCH("Cayo Guillermo",C370)),ISNUMBER(SEARCH("Cayo Las Brujas",C370)),ISNUMBER(SEARCH("Cayo Ensenachos",C370)),ISNUMBER(SEARCH("Holguín",C370)),ISNUMBER(SEARCH("Holguin",C370)),ISNUMBER(SEARCH("Havana",C370)),ISNUMBER(SEARCH("Old Havana",C370)),ISNUMBER(SEARCH("Vedado",C370)),ISNUMBER(SEARCH("Miramar",C370))),NOT(ISNUMBER(SEARCH("historical",F370)))),"P370",IF(OR(ISNUMBER(SEARCH("historical",F370)),H370="Low",ISNUMBER(SEARCH("to verify",F370)),ISNUMBER(SEARCH("requires verification",F370))),"Backlog","P371")))))</f>
        <v/>
      </c>
    </row>
    <row r="371" ht="15.75" customHeight="1">
      <c r="H371" s="13"/>
      <c r="L371" s="13" t="str">
        <f>IF(A371="","",IF(OR(COUNTIF('Priority Rules'!$A$2:$A$24,A371)&gt;0,COUNTIF('Priority Rules'!$B$2:$B$8,B371)&gt;0),"P370",IF(COUNTIF('Priority Rules'!$C$2:$C$9,A371)&gt;0,"P371",IF(AND(OR(ISNUMBER(SEARCH("Varadero",C371)),ISNUMBER(SEARCH("Cayo Coco",C371)),ISNUMBER(SEARCH("Cayo Santa María",C371)),ISNUMBER(SEARCH("Cayo Santa Maria",C371)),ISNUMBER(SEARCH("Cayo Guillermo",C371)),ISNUMBER(SEARCH("Cayo Las Brujas",C371)),ISNUMBER(SEARCH("Cayo Ensenachos",C371)),ISNUMBER(SEARCH("Holguín",C371)),ISNUMBER(SEARCH("Holguin",C371)),ISNUMBER(SEARCH("Havana",C371)),ISNUMBER(SEARCH("Old Havana",C371)),ISNUMBER(SEARCH("Vedado",C371)),ISNUMBER(SEARCH("Miramar",C371))),NOT(ISNUMBER(SEARCH("historical",F371)))),"P371",IF(OR(ISNUMBER(SEARCH("historical",F371)),H371="Low",ISNUMBER(SEARCH("to verify",F371)),ISNUMBER(SEARCH("requires verification",F371))),"Backlog","P372")))))</f>
        <v/>
      </c>
    </row>
    <row r="372" ht="15.75" customHeight="1">
      <c r="H372" s="13"/>
      <c r="L372" s="13" t="str">
        <f>IF(A372="","",IF(OR(COUNTIF('Priority Rules'!$A$2:$A$24,A372)&gt;0,COUNTIF('Priority Rules'!$B$2:$B$8,B372)&gt;0),"P371",IF(COUNTIF('Priority Rules'!$C$2:$C$9,A372)&gt;0,"P372",IF(AND(OR(ISNUMBER(SEARCH("Varadero",C372)),ISNUMBER(SEARCH("Cayo Coco",C372)),ISNUMBER(SEARCH("Cayo Santa María",C372)),ISNUMBER(SEARCH("Cayo Santa Maria",C372)),ISNUMBER(SEARCH("Cayo Guillermo",C372)),ISNUMBER(SEARCH("Cayo Las Brujas",C372)),ISNUMBER(SEARCH("Cayo Ensenachos",C372)),ISNUMBER(SEARCH("Holguín",C372)),ISNUMBER(SEARCH("Holguin",C372)),ISNUMBER(SEARCH("Havana",C372)),ISNUMBER(SEARCH("Old Havana",C372)),ISNUMBER(SEARCH("Vedado",C372)),ISNUMBER(SEARCH("Miramar",C372))),NOT(ISNUMBER(SEARCH("historical",F372)))),"P372",IF(OR(ISNUMBER(SEARCH("historical",F372)),H372="Low",ISNUMBER(SEARCH("to verify",F372)),ISNUMBER(SEARCH("requires verification",F372))),"Backlog","P373")))))</f>
        <v/>
      </c>
    </row>
    <row r="373" ht="15.75" customHeight="1">
      <c r="H373" s="13"/>
      <c r="L373" s="13" t="str">
        <f>IF(A373="","",IF(OR(COUNTIF('Priority Rules'!$A$2:$A$24,A373)&gt;0,COUNTIF('Priority Rules'!$B$2:$B$8,B373)&gt;0),"P372",IF(COUNTIF('Priority Rules'!$C$2:$C$9,A373)&gt;0,"P373",IF(AND(OR(ISNUMBER(SEARCH("Varadero",C373)),ISNUMBER(SEARCH("Cayo Coco",C373)),ISNUMBER(SEARCH("Cayo Santa María",C373)),ISNUMBER(SEARCH("Cayo Santa Maria",C373)),ISNUMBER(SEARCH("Cayo Guillermo",C373)),ISNUMBER(SEARCH("Cayo Las Brujas",C373)),ISNUMBER(SEARCH("Cayo Ensenachos",C373)),ISNUMBER(SEARCH("Holguín",C373)),ISNUMBER(SEARCH("Holguin",C373)),ISNUMBER(SEARCH("Havana",C373)),ISNUMBER(SEARCH("Old Havana",C373)),ISNUMBER(SEARCH("Vedado",C373)),ISNUMBER(SEARCH("Miramar",C373))),NOT(ISNUMBER(SEARCH("historical",F373)))),"P373",IF(OR(ISNUMBER(SEARCH("historical",F373)),H373="Low",ISNUMBER(SEARCH("to verify",F373)),ISNUMBER(SEARCH("requires verification",F373))),"Backlog","P374")))))</f>
        <v/>
      </c>
    </row>
    <row r="374" ht="15.75" customHeight="1">
      <c r="H374" s="13"/>
      <c r="L374" s="13" t="str">
        <f>IF(A374="","",IF(OR(COUNTIF('Priority Rules'!$A$2:$A$24,A374)&gt;0,COUNTIF('Priority Rules'!$B$2:$B$8,B374)&gt;0),"P373",IF(COUNTIF('Priority Rules'!$C$2:$C$9,A374)&gt;0,"P374",IF(AND(OR(ISNUMBER(SEARCH("Varadero",C374)),ISNUMBER(SEARCH("Cayo Coco",C374)),ISNUMBER(SEARCH("Cayo Santa María",C374)),ISNUMBER(SEARCH("Cayo Santa Maria",C374)),ISNUMBER(SEARCH("Cayo Guillermo",C374)),ISNUMBER(SEARCH("Cayo Las Brujas",C374)),ISNUMBER(SEARCH("Cayo Ensenachos",C374)),ISNUMBER(SEARCH("Holguín",C374)),ISNUMBER(SEARCH("Holguin",C374)),ISNUMBER(SEARCH("Havana",C374)),ISNUMBER(SEARCH("Old Havana",C374)),ISNUMBER(SEARCH("Vedado",C374)),ISNUMBER(SEARCH("Miramar",C374))),NOT(ISNUMBER(SEARCH("historical",F374)))),"P374",IF(OR(ISNUMBER(SEARCH("historical",F374)),H374="Low",ISNUMBER(SEARCH("to verify",F374)),ISNUMBER(SEARCH("requires verification",F374))),"Backlog","P375")))))</f>
        <v/>
      </c>
    </row>
    <row r="375" ht="15.75" customHeight="1">
      <c r="H375" s="13"/>
      <c r="L375" s="13" t="str">
        <f>IF(A375="","",IF(OR(COUNTIF('Priority Rules'!$A$2:$A$24,A375)&gt;0,COUNTIF('Priority Rules'!$B$2:$B$8,B375)&gt;0),"P374",IF(COUNTIF('Priority Rules'!$C$2:$C$9,A375)&gt;0,"P375",IF(AND(OR(ISNUMBER(SEARCH("Varadero",C375)),ISNUMBER(SEARCH("Cayo Coco",C375)),ISNUMBER(SEARCH("Cayo Santa María",C375)),ISNUMBER(SEARCH("Cayo Santa Maria",C375)),ISNUMBER(SEARCH("Cayo Guillermo",C375)),ISNUMBER(SEARCH("Cayo Las Brujas",C375)),ISNUMBER(SEARCH("Cayo Ensenachos",C375)),ISNUMBER(SEARCH("Holguín",C375)),ISNUMBER(SEARCH("Holguin",C375)),ISNUMBER(SEARCH("Havana",C375)),ISNUMBER(SEARCH("Old Havana",C375)),ISNUMBER(SEARCH("Vedado",C375)),ISNUMBER(SEARCH("Miramar",C375))),NOT(ISNUMBER(SEARCH("historical",F375)))),"P375",IF(OR(ISNUMBER(SEARCH("historical",F375)),H375="Low",ISNUMBER(SEARCH("to verify",F375)),ISNUMBER(SEARCH("requires verification",F375))),"Backlog","P376")))))</f>
        <v/>
      </c>
    </row>
    <row r="376" ht="15.75" customHeight="1">
      <c r="H376" s="13"/>
      <c r="L376" s="13" t="str">
        <f>IF(A376="","",IF(OR(COUNTIF('Priority Rules'!$A$2:$A$24,A376)&gt;0,COUNTIF('Priority Rules'!$B$2:$B$8,B376)&gt;0),"P375",IF(COUNTIF('Priority Rules'!$C$2:$C$9,A376)&gt;0,"P376",IF(AND(OR(ISNUMBER(SEARCH("Varadero",C376)),ISNUMBER(SEARCH("Cayo Coco",C376)),ISNUMBER(SEARCH("Cayo Santa María",C376)),ISNUMBER(SEARCH("Cayo Santa Maria",C376)),ISNUMBER(SEARCH("Cayo Guillermo",C376)),ISNUMBER(SEARCH("Cayo Las Brujas",C376)),ISNUMBER(SEARCH("Cayo Ensenachos",C376)),ISNUMBER(SEARCH("Holguín",C376)),ISNUMBER(SEARCH("Holguin",C376)),ISNUMBER(SEARCH("Havana",C376)),ISNUMBER(SEARCH("Old Havana",C376)),ISNUMBER(SEARCH("Vedado",C376)),ISNUMBER(SEARCH("Miramar",C376))),NOT(ISNUMBER(SEARCH("historical",F376)))),"P376",IF(OR(ISNUMBER(SEARCH("historical",F376)),H376="Low",ISNUMBER(SEARCH("to verify",F376)),ISNUMBER(SEARCH("requires verification",F376))),"Backlog","P377")))))</f>
        <v/>
      </c>
    </row>
    <row r="377" ht="15.75" customHeight="1">
      <c r="H377" s="13"/>
      <c r="L377" s="13" t="str">
        <f>IF(A377="","",IF(OR(COUNTIF('Priority Rules'!$A$2:$A$24,A377)&gt;0,COUNTIF('Priority Rules'!$B$2:$B$8,B377)&gt;0),"P376",IF(COUNTIF('Priority Rules'!$C$2:$C$9,A377)&gt;0,"P377",IF(AND(OR(ISNUMBER(SEARCH("Varadero",C377)),ISNUMBER(SEARCH("Cayo Coco",C377)),ISNUMBER(SEARCH("Cayo Santa María",C377)),ISNUMBER(SEARCH("Cayo Santa Maria",C377)),ISNUMBER(SEARCH("Cayo Guillermo",C377)),ISNUMBER(SEARCH("Cayo Las Brujas",C377)),ISNUMBER(SEARCH("Cayo Ensenachos",C377)),ISNUMBER(SEARCH("Holguín",C377)),ISNUMBER(SEARCH("Holguin",C377)),ISNUMBER(SEARCH("Havana",C377)),ISNUMBER(SEARCH("Old Havana",C377)),ISNUMBER(SEARCH("Vedado",C377)),ISNUMBER(SEARCH("Miramar",C377))),NOT(ISNUMBER(SEARCH("historical",F377)))),"P377",IF(OR(ISNUMBER(SEARCH("historical",F377)),H377="Low",ISNUMBER(SEARCH("to verify",F377)),ISNUMBER(SEARCH("requires verification",F377))),"Backlog","P378")))))</f>
        <v/>
      </c>
    </row>
    <row r="378" ht="15.75" customHeight="1">
      <c r="H378" s="13"/>
      <c r="L378" s="13" t="str">
        <f>IF(A378="","",IF(OR(COUNTIF('Priority Rules'!$A$2:$A$24,A378)&gt;0,COUNTIF('Priority Rules'!$B$2:$B$8,B378)&gt;0),"P377",IF(COUNTIF('Priority Rules'!$C$2:$C$9,A378)&gt;0,"P378",IF(AND(OR(ISNUMBER(SEARCH("Varadero",C378)),ISNUMBER(SEARCH("Cayo Coco",C378)),ISNUMBER(SEARCH("Cayo Santa María",C378)),ISNUMBER(SEARCH("Cayo Santa Maria",C378)),ISNUMBER(SEARCH("Cayo Guillermo",C378)),ISNUMBER(SEARCH("Cayo Las Brujas",C378)),ISNUMBER(SEARCH("Cayo Ensenachos",C378)),ISNUMBER(SEARCH("Holguín",C378)),ISNUMBER(SEARCH("Holguin",C378)),ISNUMBER(SEARCH("Havana",C378)),ISNUMBER(SEARCH("Old Havana",C378)),ISNUMBER(SEARCH("Vedado",C378)),ISNUMBER(SEARCH("Miramar",C378))),NOT(ISNUMBER(SEARCH("historical",F378)))),"P378",IF(OR(ISNUMBER(SEARCH("historical",F378)),H378="Low",ISNUMBER(SEARCH("to verify",F378)),ISNUMBER(SEARCH("requires verification",F378))),"Backlog","P379")))))</f>
        <v/>
      </c>
    </row>
    <row r="379" ht="15.75" customHeight="1">
      <c r="H379" s="13"/>
      <c r="L379" s="13" t="str">
        <f>IF(A379="","",IF(OR(COUNTIF('Priority Rules'!$A$2:$A$24,A379)&gt;0,COUNTIF('Priority Rules'!$B$2:$B$8,B379)&gt;0),"P378",IF(COUNTIF('Priority Rules'!$C$2:$C$9,A379)&gt;0,"P379",IF(AND(OR(ISNUMBER(SEARCH("Varadero",C379)),ISNUMBER(SEARCH("Cayo Coco",C379)),ISNUMBER(SEARCH("Cayo Santa María",C379)),ISNUMBER(SEARCH("Cayo Santa Maria",C379)),ISNUMBER(SEARCH("Cayo Guillermo",C379)),ISNUMBER(SEARCH("Cayo Las Brujas",C379)),ISNUMBER(SEARCH("Cayo Ensenachos",C379)),ISNUMBER(SEARCH("Holguín",C379)),ISNUMBER(SEARCH("Holguin",C379)),ISNUMBER(SEARCH("Havana",C379)),ISNUMBER(SEARCH("Old Havana",C379)),ISNUMBER(SEARCH("Vedado",C379)),ISNUMBER(SEARCH("Miramar",C379))),NOT(ISNUMBER(SEARCH("historical",F379)))),"P379",IF(OR(ISNUMBER(SEARCH("historical",F379)),H379="Low",ISNUMBER(SEARCH("to verify",F379)),ISNUMBER(SEARCH("requires verification",F379))),"Backlog","P380")))))</f>
        <v/>
      </c>
    </row>
    <row r="380" ht="15.75" customHeight="1">
      <c r="H380" s="13"/>
      <c r="L380" s="13" t="str">
        <f>IF(A380="","",IF(OR(COUNTIF('Priority Rules'!$A$2:$A$24,A380)&gt;0,COUNTIF('Priority Rules'!$B$2:$B$8,B380)&gt;0),"P379",IF(COUNTIF('Priority Rules'!$C$2:$C$9,A380)&gt;0,"P380",IF(AND(OR(ISNUMBER(SEARCH("Varadero",C380)),ISNUMBER(SEARCH("Cayo Coco",C380)),ISNUMBER(SEARCH("Cayo Santa María",C380)),ISNUMBER(SEARCH("Cayo Santa Maria",C380)),ISNUMBER(SEARCH("Cayo Guillermo",C380)),ISNUMBER(SEARCH("Cayo Las Brujas",C380)),ISNUMBER(SEARCH("Cayo Ensenachos",C380)),ISNUMBER(SEARCH("Holguín",C380)),ISNUMBER(SEARCH("Holguin",C380)),ISNUMBER(SEARCH("Havana",C380)),ISNUMBER(SEARCH("Old Havana",C380)),ISNUMBER(SEARCH("Vedado",C380)),ISNUMBER(SEARCH("Miramar",C380))),NOT(ISNUMBER(SEARCH("historical",F380)))),"P380",IF(OR(ISNUMBER(SEARCH("historical",F380)),H380="Low",ISNUMBER(SEARCH("to verify",F380)),ISNUMBER(SEARCH("requires verification",F380))),"Backlog","P381")))))</f>
        <v/>
      </c>
    </row>
    <row r="381" ht="15.75" customHeight="1">
      <c r="H381" s="13"/>
      <c r="L381" s="13" t="str">
        <f>IF(A381="","",IF(OR(COUNTIF('Priority Rules'!$A$2:$A$24,A381)&gt;0,COUNTIF('Priority Rules'!$B$2:$B$8,B381)&gt;0),"P380",IF(COUNTIF('Priority Rules'!$C$2:$C$9,A381)&gt;0,"P381",IF(AND(OR(ISNUMBER(SEARCH("Varadero",C381)),ISNUMBER(SEARCH("Cayo Coco",C381)),ISNUMBER(SEARCH("Cayo Santa María",C381)),ISNUMBER(SEARCH("Cayo Santa Maria",C381)),ISNUMBER(SEARCH("Cayo Guillermo",C381)),ISNUMBER(SEARCH("Cayo Las Brujas",C381)),ISNUMBER(SEARCH("Cayo Ensenachos",C381)),ISNUMBER(SEARCH("Holguín",C381)),ISNUMBER(SEARCH("Holguin",C381)),ISNUMBER(SEARCH("Havana",C381)),ISNUMBER(SEARCH("Old Havana",C381)),ISNUMBER(SEARCH("Vedado",C381)),ISNUMBER(SEARCH("Miramar",C381))),NOT(ISNUMBER(SEARCH("historical",F381)))),"P381",IF(OR(ISNUMBER(SEARCH("historical",F381)),H381="Low",ISNUMBER(SEARCH("to verify",F381)),ISNUMBER(SEARCH("requires verification",F381))),"Backlog","P382")))))</f>
        <v/>
      </c>
    </row>
    <row r="382" ht="15.75" customHeight="1">
      <c r="H382" s="13"/>
      <c r="L382" s="13" t="str">
        <f>IF(A382="","",IF(OR(COUNTIF('Priority Rules'!$A$2:$A$24,A382)&gt;0,COUNTIF('Priority Rules'!$B$2:$B$8,B382)&gt;0),"P381",IF(COUNTIF('Priority Rules'!$C$2:$C$9,A382)&gt;0,"P382",IF(AND(OR(ISNUMBER(SEARCH("Varadero",C382)),ISNUMBER(SEARCH("Cayo Coco",C382)),ISNUMBER(SEARCH("Cayo Santa María",C382)),ISNUMBER(SEARCH("Cayo Santa Maria",C382)),ISNUMBER(SEARCH("Cayo Guillermo",C382)),ISNUMBER(SEARCH("Cayo Las Brujas",C382)),ISNUMBER(SEARCH("Cayo Ensenachos",C382)),ISNUMBER(SEARCH("Holguín",C382)),ISNUMBER(SEARCH("Holguin",C382)),ISNUMBER(SEARCH("Havana",C382)),ISNUMBER(SEARCH("Old Havana",C382)),ISNUMBER(SEARCH("Vedado",C382)),ISNUMBER(SEARCH("Miramar",C382))),NOT(ISNUMBER(SEARCH("historical",F382)))),"P382",IF(OR(ISNUMBER(SEARCH("historical",F382)),H382="Low",ISNUMBER(SEARCH("to verify",F382)),ISNUMBER(SEARCH("requires verification",F382))),"Backlog","P383")))))</f>
        <v/>
      </c>
    </row>
    <row r="383" ht="15.75" customHeight="1">
      <c r="H383" s="13"/>
      <c r="L383" s="13" t="str">
        <f>IF(A383="","",IF(OR(COUNTIF('Priority Rules'!$A$2:$A$24,A383)&gt;0,COUNTIF('Priority Rules'!$B$2:$B$8,B383)&gt;0),"P382",IF(COUNTIF('Priority Rules'!$C$2:$C$9,A383)&gt;0,"P383",IF(AND(OR(ISNUMBER(SEARCH("Varadero",C383)),ISNUMBER(SEARCH("Cayo Coco",C383)),ISNUMBER(SEARCH("Cayo Santa María",C383)),ISNUMBER(SEARCH("Cayo Santa Maria",C383)),ISNUMBER(SEARCH("Cayo Guillermo",C383)),ISNUMBER(SEARCH("Cayo Las Brujas",C383)),ISNUMBER(SEARCH("Cayo Ensenachos",C383)),ISNUMBER(SEARCH("Holguín",C383)),ISNUMBER(SEARCH("Holguin",C383)),ISNUMBER(SEARCH("Havana",C383)),ISNUMBER(SEARCH("Old Havana",C383)),ISNUMBER(SEARCH("Vedado",C383)),ISNUMBER(SEARCH("Miramar",C383))),NOT(ISNUMBER(SEARCH("historical",F383)))),"P383",IF(OR(ISNUMBER(SEARCH("historical",F383)),H383="Low",ISNUMBER(SEARCH("to verify",F383)),ISNUMBER(SEARCH("requires verification",F383))),"Backlog","P384")))))</f>
        <v/>
      </c>
    </row>
    <row r="384" ht="15.75" customHeight="1">
      <c r="H384" s="13"/>
      <c r="L384" s="13" t="str">
        <f>IF(A384="","",IF(OR(COUNTIF('Priority Rules'!$A$2:$A$24,A384)&gt;0,COUNTIF('Priority Rules'!$B$2:$B$8,B384)&gt;0),"P383",IF(COUNTIF('Priority Rules'!$C$2:$C$9,A384)&gt;0,"P384",IF(AND(OR(ISNUMBER(SEARCH("Varadero",C384)),ISNUMBER(SEARCH("Cayo Coco",C384)),ISNUMBER(SEARCH("Cayo Santa María",C384)),ISNUMBER(SEARCH("Cayo Santa Maria",C384)),ISNUMBER(SEARCH("Cayo Guillermo",C384)),ISNUMBER(SEARCH("Cayo Las Brujas",C384)),ISNUMBER(SEARCH("Cayo Ensenachos",C384)),ISNUMBER(SEARCH("Holguín",C384)),ISNUMBER(SEARCH("Holguin",C384)),ISNUMBER(SEARCH("Havana",C384)),ISNUMBER(SEARCH("Old Havana",C384)),ISNUMBER(SEARCH("Vedado",C384)),ISNUMBER(SEARCH("Miramar",C384))),NOT(ISNUMBER(SEARCH("historical",F384)))),"P384",IF(OR(ISNUMBER(SEARCH("historical",F384)),H384="Low",ISNUMBER(SEARCH("to verify",F384)),ISNUMBER(SEARCH("requires verification",F384))),"Backlog","P385")))))</f>
        <v/>
      </c>
    </row>
    <row r="385" ht="15.75" customHeight="1">
      <c r="H385" s="13"/>
      <c r="L385" s="13" t="str">
        <f>IF(A385="","",IF(OR(COUNTIF('Priority Rules'!$A$2:$A$24,A385)&gt;0,COUNTIF('Priority Rules'!$B$2:$B$8,B385)&gt;0),"P384",IF(COUNTIF('Priority Rules'!$C$2:$C$9,A385)&gt;0,"P385",IF(AND(OR(ISNUMBER(SEARCH("Varadero",C385)),ISNUMBER(SEARCH("Cayo Coco",C385)),ISNUMBER(SEARCH("Cayo Santa María",C385)),ISNUMBER(SEARCH("Cayo Santa Maria",C385)),ISNUMBER(SEARCH("Cayo Guillermo",C385)),ISNUMBER(SEARCH("Cayo Las Brujas",C385)),ISNUMBER(SEARCH("Cayo Ensenachos",C385)),ISNUMBER(SEARCH("Holguín",C385)),ISNUMBER(SEARCH("Holguin",C385)),ISNUMBER(SEARCH("Havana",C385)),ISNUMBER(SEARCH("Old Havana",C385)),ISNUMBER(SEARCH("Vedado",C385)),ISNUMBER(SEARCH("Miramar",C385))),NOT(ISNUMBER(SEARCH("historical",F385)))),"P385",IF(OR(ISNUMBER(SEARCH("historical",F385)),H385="Low",ISNUMBER(SEARCH("to verify",F385)),ISNUMBER(SEARCH("requires verification",F385))),"Backlog","P386")))))</f>
        <v/>
      </c>
    </row>
    <row r="386" ht="15.75" customHeight="1">
      <c r="H386" s="13"/>
      <c r="L386" s="13" t="str">
        <f>IF(A386="","",IF(OR(COUNTIF('Priority Rules'!$A$2:$A$24,A386)&gt;0,COUNTIF('Priority Rules'!$B$2:$B$8,B386)&gt;0),"P385",IF(COUNTIF('Priority Rules'!$C$2:$C$9,A386)&gt;0,"P386",IF(AND(OR(ISNUMBER(SEARCH("Varadero",C386)),ISNUMBER(SEARCH("Cayo Coco",C386)),ISNUMBER(SEARCH("Cayo Santa María",C386)),ISNUMBER(SEARCH("Cayo Santa Maria",C386)),ISNUMBER(SEARCH("Cayo Guillermo",C386)),ISNUMBER(SEARCH("Cayo Las Brujas",C386)),ISNUMBER(SEARCH("Cayo Ensenachos",C386)),ISNUMBER(SEARCH("Holguín",C386)),ISNUMBER(SEARCH("Holguin",C386)),ISNUMBER(SEARCH("Havana",C386)),ISNUMBER(SEARCH("Old Havana",C386)),ISNUMBER(SEARCH("Vedado",C386)),ISNUMBER(SEARCH("Miramar",C386))),NOT(ISNUMBER(SEARCH("historical",F386)))),"P386",IF(OR(ISNUMBER(SEARCH("historical",F386)),H386="Low",ISNUMBER(SEARCH("to verify",F386)),ISNUMBER(SEARCH("requires verification",F386))),"Backlog","P387")))))</f>
        <v/>
      </c>
    </row>
    <row r="387" ht="15.75" customHeight="1">
      <c r="H387" s="13"/>
      <c r="L387" s="13" t="str">
        <f>IF(A387="","",IF(OR(COUNTIF('Priority Rules'!$A$2:$A$24,A387)&gt;0,COUNTIF('Priority Rules'!$B$2:$B$8,B387)&gt;0),"P386",IF(COUNTIF('Priority Rules'!$C$2:$C$9,A387)&gt;0,"P387",IF(AND(OR(ISNUMBER(SEARCH("Varadero",C387)),ISNUMBER(SEARCH("Cayo Coco",C387)),ISNUMBER(SEARCH("Cayo Santa María",C387)),ISNUMBER(SEARCH("Cayo Santa Maria",C387)),ISNUMBER(SEARCH("Cayo Guillermo",C387)),ISNUMBER(SEARCH("Cayo Las Brujas",C387)),ISNUMBER(SEARCH("Cayo Ensenachos",C387)),ISNUMBER(SEARCH("Holguín",C387)),ISNUMBER(SEARCH("Holguin",C387)),ISNUMBER(SEARCH("Havana",C387)),ISNUMBER(SEARCH("Old Havana",C387)),ISNUMBER(SEARCH("Vedado",C387)),ISNUMBER(SEARCH("Miramar",C387))),NOT(ISNUMBER(SEARCH("historical",F387)))),"P387",IF(OR(ISNUMBER(SEARCH("historical",F387)),H387="Low",ISNUMBER(SEARCH("to verify",F387)),ISNUMBER(SEARCH("requires verification",F387))),"Backlog","P388")))))</f>
        <v/>
      </c>
    </row>
    <row r="388" ht="15.75" customHeight="1">
      <c r="H388" s="13"/>
      <c r="L388" s="13" t="str">
        <f>IF(A388="","",IF(OR(COUNTIF('Priority Rules'!$A$2:$A$24,A388)&gt;0,COUNTIF('Priority Rules'!$B$2:$B$8,B388)&gt;0),"P387",IF(COUNTIF('Priority Rules'!$C$2:$C$9,A388)&gt;0,"P388",IF(AND(OR(ISNUMBER(SEARCH("Varadero",C388)),ISNUMBER(SEARCH("Cayo Coco",C388)),ISNUMBER(SEARCH("Cayo Santa María",C388)),ISNUMBER(SEARCH("Cayo Santa Maria",C388)),ISNUMBER(SEARCH("Cayo Guillermo",C388)),ISNUMBER(SEARCH("Cayo Las Brujas",C388)),ISNUMBER(SEARCH("Cayo Ensenachos",C388)),ISNUMBER(SEARCH("Holguín",C388)),ISNUMBER(SEARCH("Holguin",C388)),ISNUMBER(SEARCH("Havana",C388)),ISNUMBER(SEARCH("Old Havana",C388)),ISNUMBER(SEARCH("Vedado",C388)),ISNUMBER(SEARCH("Miramar",C388))),NOT(ISNUMBER(SEARCH("historical",F388)))),"P388",IF(OR(ISNUMBER(SEARCH("historical",F388)),H388="Low",ISNUMBER(SEARCH("to verify",F388)),ISNUMBER(SEARCH("requires verification",F388))),"Backlog","P389")))))</f>
        <v/>
      </c>
    </row>
    <row r="389" ht="15.75" customHeight="1">
      <c r="H389" s="13"/>
      <c r="L389" s="13" t="str">
        <f>IF(A389="","",IF(OR(COUNTIF('Priority Rules'!$A$2:$A$24,A389)&gt;0,COUNTIF('Priority Rules'!$B$2:$B$8,B389)&gt;0),"P388",IF(COUNTIF('Priority Rules'!$C$2:$C$9,A389)&gt;0,"P389",IF(AND(OR(ISNUMBER(SEARCH("Varadero",C389)),ISNUMBER(SEARCH("Cayo Coco",C389)),ISNUMBER(SEARCH("Cayo Santa María",C389)),ISNUMBER(SEARCH("Cayo Santa Maria",C389)),ISNUMBER(SEARCH("Cayo Guillermo",C389)),ISNUMBER(SEARCH("Cayo Las Brujas",C389)),ISNUMBER(SEARCH("Cayo Ensenachos",C389)),ISNUMBER(SEARCH("Holguín",C389)),ISNUMBER(SEARCH("Holguin",C389)),ISNUMBER(SEARCH("Havana",C389)),ISNUMBER(SEARCH("Old Havana",C389)),ISNUMBER(SEARCH("Vedado",C389)),ISNUMBER(SEARCH("Miramar",C389))),NOT(ISNUMBER(SEARCH("historical",F389)))),"P389",IF(OR(ISNUMBER(SEARCH("historical",F389)),H389="Low",ISNUMBER(SEARCH("to verify",F389)),ISNUMBER(SEARCH("requires verification",F389))),"Backlog","P390")))))</f>
        <v/>
      </c>
    </row>
    <row r="390" ht="15.75" customHeight="1">
      <c r="H390" s="13"/>
      <c r="L390" s="13" t="str">
        <f>IF(A390="","",IF(OR(COUNTIF('Priority Rules'!$A$2:$A$24,A390)&gt;0,COUNTIF('Priority Rules'!$B$2:$B$8,B390)&gt;0),"P389",IF(COUNTIF('Priority Rules'!$C$2:$C$9,A390)&gt;0,"P390",IF(AND(OR(ISNUMBER(SEARCH("Varadero",C390)),ISNUMBER(SEARCH("Cayo Coco",C390)),ISNUMBER(SEARCH("Cayo Santa María",C390)),ISNUMBER(SEARCH("Cayo Santa Maria",C390)),ISNUMBER(SEARCH("Cayo Guillermo",C390)),ISNUMBER(SEARCH("Cayo Las Brujas",C390)),ISNUMBER(SEARCH("Cayo Ensenachos",C390)),ISNUMBER(SEARCH("Holguín",C390)),ISNUMBER(SEARCH("Holguin",C390)),ISNUMBER(SEARCH("Havana",C390)),ISNUMBER(SEARCH("Old Havana",C390)),ISNUMBER(SEARCH("Vedado",C390)),ISNUMBER(SEARCH("Miramar",C390))),NOT(ISNUMBER(SEARCH("historical",F390)))),"P390",IF(OR(ISNUMBER(SEARCH("historical",F390)),H390="Low",ISNUMBER(SEARCH("to verify",F390)),ISNUMBER(SEARCH("requires verification",F390))),"Backlog","P391")))))</f>
        <v/>
      </c>
    </row>
    <row r="391" ht="15.75" customHeight="1">
      <c r="H391" s="13"/>
      <c r="L391" s="13" t="str">
        <f>IF(A391="","",IF(OR(COUNTIF('Priority Rules'!$A$2:$A$24,A391)&gt;0,COUNTIF('Priority Rules'!$B$2:$B$8,B391)&gt;0),"P390",IF(COUNTIF('Priority Rules'!$C$2:$C$9,A391)&gt;0,"P391",IF(AND(OR(ISNUMBER(SEARCH("Varadero",C391)),ISNUMBER(SEARCH("Cayo Coco",C391)),ISNUMBER(SEARCH("Cayo Santa María",C391)),ISNUMBER(SEARCH("Cayo Santa Maria",C391)),ISNUMBER(SEARCH("Cayo Guillermo",C391)),ISNUMBER(SEARCH("Cayo Las Brujas",C391)),ISNUMBER(SEARCH("Cayo Ensenachos",C391)),ISNUMBER(SEARCH("Holguín",C391)),ISNUMBER(SEARCH("Holguin",C391)),ISNUMBER(SEARCH("Havana",C391)),ISNUMBER(SEARCH("Old Havana",C391)),ISNUMBER(SEARCH("Vedado",C391)),ISNUMBER(SEARCH("Miramar",C391))),NOT(ISNUMBER(SEARCH("historical",F391)))),"P391",IF(OR(ISNUMBER(SEARCH("historical",F391)),H391="Low",ISNUMBER(SEARCH("to verify",F391)),ISNUMBER(SEARCH("requires verification",F391))),"Backlog","P392")))))</f>
        <v/>
      </c>
    </row>
    <row r="392" ht="15.75" customHeight="1">
      <c r="H392" s="13"/>
      <c r="L392" s="13" t="str">
        <f>IF(A392="","",IF(OR(COUNTIF('Priority Rules'!$A$2:$A$24,A392)&gt;0,COUNTIF('Priority Rules'!$B$2:$B$8,B392)&gt;0),"P391",IF(COUNTIF('Priority Rules'!$C$2:$C$9,A392)&gt;0,"P392",IF(AND(OR(ISNUMBER(SEARCH("Varadero",C392)),ISNUMBER(SEARCH("Cayo Coco",C392)),ISNUMBER(SEARCH("Cayo Santa María",C392)),ISNUMBER(SEARCH("Cayo Santa Maria",C392)),ISNUMBER(SEARCH("Cayo Guillermo",C392)),ISNUMBER(SEARCH("Cayo Las Brujas",C392)),ISNUMBER(SEARCH("Cayo Ensenachos",C392)),ISNUMBER(SEARCH("Holguín",C392)),ISNUMBER(SEARCH("Holguin",C392)),ISNUMBER(SEARCH("Havana",C392)),ISNUMBER(SEARCH("Old Havana",C392)),ISNUMBER(SEARCH("Vedado",C392)),ISNUMBER(SEARCH("Miramar",C392))),NOT(ISNUMBER(SEARCH("historical",F392)))),"P392",IF(OR(ISNUMBER(SEARCH("historical",F392)),H392="Low",ISNUMBER(SEARCH("to verify",F392)),ISNUMBER(SEARCH("requires verification",F392))),"Backlog","P393")))))</f>
        <v/>
      </c>
    </row>
    <row r="393" ht="15.75" customHeight="1">
      <c r="H393" s="13"/>
      <c r="L393" s="13" t="str">
        <f>IF(A393="","",IF(OR(COUNTIF('Priority Rules'!$A$2:$A$24,A393)&gt;0,COUNTIF('Priority Rules'!$B$2:$B$8,B393)&gt;0),"P392",IF(COUNTIF('Priority Rules'!$C$2:$C$9,A393)&gt;0,"P393",IF(AND(OR(ISNUMBER(SEARCH("Varadero",C393)),ISNUMBER(SEARCH("Cayo Coco",C393)),ISNUMBER(SEARCH("Cayo Santa María",C393)),ISNUMBER(SEARCH("Cayo Santa Maria",C393)),ISNUMBER(SEARCH("Cayo Guillermo",C393)),ISNUMBER(SEARCH("Cayo Las Brujas",C393)),ISNUMBER(SEARCH("Cayo Ensenachos",C393)),ISNUMBER(SEARCH("Holguín",C393)),ISNUMBER(SEARCH("Holguin",C393)),ISNUMBER(SEARCH("Havana",C393)),ISNUMBER(SEARCH("Old Havana",C393)),ISNUMBER(SEARCH("Vedado",C393)),ISNUMBER(SEARCH("Miramar",C393))),NOT(ISNUMBER(SEARCH("historical",F393)))),"P393",IF(OR(ISNUMBER(SEARCH("historical",F393)),H393="Low",ISNUMBER(SEARCH("to verify",F393)),ISNUMBER(SEARCH("requires verification",F393))),"Backlog","P394")))))</f>
        <v/>
      </c>
    </row>
    <row r="394" ht="15.75" customHeight="1">
      <c r="H394" s="13"/>
      <c r="L394" s="13" t="str">
        <f>IF(A394="","",IF(OR(COUNTIF('Priority Rules'!$A$2:$A$24,A394)&gt;0,COUNTIF('Priority Rules'!$B$2:$B$8,B394)&gt;0),"P393",IF(COUNTIF('Priority Rules'!$C$2:$C$9,A394)&gt;0,"P394",IF(AND(OR(ISNUMBER(SEARCH("Varadero",C394)),ISNUMBER(SEARCH("Cayo Coco",C394)),ISNUMBER(SEARCH("Cayo Santa María",C394)),ISNUMBER(SEARCH("Cayo Santa Maria",C394)),ISNUMBER(SEARCH("Cayo Guillermo",C394)),ISNUMBER(SEARCH("Cayo Las Brujas",C394)),ISNUMBER(SEARCH("Cayo Ensenachos",C394)),ISNUMBER(SEARCH("Holguín",C394)),ISNUMBER(SEARCH("Holguin",C394)),ISNUMBER(SEARCH("Havana",C394)),ISNUMBER(SEARCH("Old Havana",C394)),ISNUMBER(SEARCH("Vedado",C394)),ISNUMBER(SEARCH("Miramar",C394))),NOT(ISNUMBER(SEARCH("historical",F394)))),"P394",IF(OR(ISNUMBER(SEARCH("historical",F394)),H394="Low",ISNUMBER(SEARCH("to verify",F394)),ISNUMBER(SEARCH("requires verification",F394))),"Backlog","P395")))))</f>
        <v/>
      </c>
    </row>
    <row r="395" ht="15.75" customHeight="1">
      <c r="H395" s="13"/>
      <c r="L395" s="13" t="str">
        <f>IF(A395="","",IF(OR(COUNTIF('Priority Rules'!$A$2:$A$24,A395)&gt;0,COUNTIF('Priority Rules'!$B$2:$B$8,B395)&gt;0),"P394",IF(COUNTIF('Priority Rules'!$C$2:$C$9,A395)&gt;0,"P395",IF(AND(OR(ISNUMBER(SEARCH("Varadero",C395)),ISNUMBER(SEARCH("Cayo Coco",C395)),ISNUMBER(SEARCH("Cayo Santa María",C395)),ISNUMBER(SEARCH("Cayo Santa Maria",C395)),ISNUMBER(SEARCH("Cayo Guillermo",C395)),ISNUMBER(SEARCH("Cayo Las Brujas",C395)),ISNUMBER(SEARCH("Cayo Ensenachos",C395)),ISNUMBER(SEARCH("Holguín",C395)),ISNUMBER(SEARCH("Holguin",C395)),ISNUMBER(SEARCH("Havana",C395)),ISNUMBER(SEARCH("Old Havana",C395)),ISNUMBER(SEARCH("Vedado",C395)),ISNUMBER(SEARCH("Miramar",C395))),NOT(ISNUMBER(SEARCH("historical",F395)))),"P395",IF(OR(ISNUMBER(SEARCH("historical",F395)),H395="Low",ISNUMBER(SEARCH("to verify",F395)),ISNUMBER(SEARCH("requires verification",F395))),"Backlog","P396")))))</f>
        <v/>
      </c>
    </row>
    <row r="396" ht="15.75" customHeight="1">
      <c r="H396" s="13"/>
      <c r="L396" s="13" t="str">
        <f>IF(A396="","",IF(OR(COUNTIF('Priority Rules'!$A$2:$A$24,A396)&gt;0,COUNTIF('Priority Rules'!$B$2:$B$8,B396)&gt;0),"P395",IF(COUNTIF('Priority Rules'!$C$2:$C$9,A396)&gt;0,"P396",IF(AND(OR(ISNUMBER(SEARCH("Varadero",C396)),ISNUMBER(SEARCH("Cayo Coco",C396)),ISNUMBER(SEARCH("Cayo Santa María",C396)),ISNUMBER(SEARCH("Cayo Santa Maria",C396)),ISNUMBER(SEARCH("Cayo Guillermo",C396)),ISNUMBER(SEARCH("Cayo Las Brujas",C396)),ISNUMBER(SEARCH("Cayo Ensenachos",C396)),ISNUMBER(SEARCH("Holguín",C396)),ISNUMBER(SEARCH("Holguin",C396)),ISNUMBER(SEARCH("Havana",C396)),ISNUMBER(SEARCH("Old Havana",C396)),ISNUMBER(SEARCH("Vedado",C396)),ISNUMBER(SEARCH("Miramar",C396))),NOT(ISNUMBER(SEARCH("historical",F396)))),"P396",IF(OR(ISNUMBER(SEARCH("historical",F396)),H396="Low",ISNUMBER(SEARCH("to verify",F396)),ISNUMBER(SEARCH("requires verification",F396))),"Backlog","P397")))))</f>
        <v/>
      </c>
    </row>
    <row r="397" ht="15.75" customHeight="1">
      <c r="H397" s="13"/>
      <c r="L397" s="13" t="str">
        <f>IF(A397="","",IF(OR(COUNTIF('Priority Rules'!$A$2:$A$24,A397)&gt;0,COUNTIF('Priority Rules'!$B$2:$B$8,B397)&gt;0),"P396",IF(COUNTIF('Priority Rules'!$C$2:$C$9,A397)&gt;0,"P397",IF(AND(OR(ISNUMBER(SEARCH("Varadero",C397)),ISNUMBER(SEARCH("Cayo Coco",C397)),ISNUMBER(SEARCH("Cayo Santa María",C397)),ISNUMBER(SEARCH("Cayo Santa Maria",C397)),ISNUMBER(SEARCH("Cayo Guillermo",C397)),ISNUMBER(SEARCH("Cayo Las Brujas",C397)),ISNUMBER(SEARCH("Cayo Ensenachos",C397)),ISNUMBER(SEARCH("Holguín",C397)),ISNUMBER(SEARCH("Holguin",C397)),ISNUMBER(SEARCH("Havana",C397)),ISNUMBER(SEARCH("Old Havana",C397)),ISNUMBER(SEARCH("Vedado",C397)),ISNUMBER(SEARCH("Miramar",C397))),NOT(ISNUMBER(SEARCH("historical",F397)))),"P397",IF(OR(ISNUMBER(SEARCH("historical",F397)),H397="Low",ISNUMBER(SEARCH("to verify",F397)),ISNUMBER(SEARCH("requires verification",F397))),"Backlog","P398")))))</f>
        <v/>
      </c>
    </row>
    <row r="398" ht="15.75" customHeight="1">
      <c r="H398" s="13"/>
      <c r="L398" s="13" t="str">
        <f>IF(A398="","",IF(OR(COUNTIF('Priority Rules'!$A$2:$A$24,A398)&gt;0,COUNTIF('Priority Rules'!$B$2:$B$8,B398)&gt;0),"P397",IF(COUNTIF('Priority Rules'!$C$2:$C$9,A398)&gt;0,"P398",IF(AND(OR(ISNUMBER(SEARCH("Varadero",C398)),ISNUMBER(SEARCH("Cayo Coco",C398)),ISNUMBER(SEARCH("Cayo Santa María",C398)),ISNUMBER(SEARCH("Cayo Santa Maria",C398)),ISNUMBER(SEARCH("Cayo Guillermo",C398)),ISNUMBER(SEARCH("Cayo Las Brujas",C398)),ISNUMBER(SEARCH("Cayo Ensenachos",C398)),ISNUMBER(SEARCH("Holguín",C398)),ISNUMBER(SEARCH("Holguin",C398)),ISNUMBER(SEARCH("Havana",C398)),ISNUMBER(SEARCH("Old Havana",C398)),ISNUMBER(SEARCH("Vedado",C398)),ISNUMBER(SEARCH("Miramar",C398))),NOT(ISNUMBER(SEARCH("historical",F398)))),"P398",IF(OR(ISNUMBER(SEARCH("historical",F398)),H398="Low",ISNUMBER(SEARCH("to verify",F398)),ISNUMBER(SEARCH("requires verification",F398))),"Backlog","P399")))))</f>
        <v/>
      </c>
    </row>
    <row r="399" ht="15.75" customHeight="1">
      <c r="H399" s="13"/>
      <c r="L399" s="13" t="str">
        <f>IF(A399="","",IF(OR(COUNTIF('Priority Rules'!$A$2:$A$24,A399)&gt;0,COUNTIF('Priority Rules'!$B$2:$B$8,B399)&gt;0),"P398",IF(COUNTIF('Priority Rules'!$C$2:$C$9,A399)&gt;0,"P399",IF(AND(OR(ISNUMBER(SEARCH("Varadero",C399)),ISNUMBER(SEARCH("Cayo Coco",C399)),ISNUMBER(SEARCH("Cayo Santa María",C399)),ISNUMBER(SEARCH("Cayo Santa Maria",C399)),ISNUMBER(SEARCH("Cayo Guillermo",C399)),ISNUMBER(SEARCH("Cayo Las Brujas",C399)),ISNUMBER(SEARCH("Cayo Ensenachos",C399)),ISNUMBER(SEARCH("Holguín",C399)),ISNUMBER(SEARCH("Holguin",C399)),ISNUMBER(SEARCH("Havana",C399)),ISNUMBER(SEARCH("Old Havana",C399)),ISNUMBER(SEARCH("Vedado",C399)),ISNUMBER(SEARCH("Miramar",C399))),NOT(ISNUMBER(SEARCH("historical",F399)))),"P399",IF(OR(ISNUMBER(SEARCH("historical",F399)),H399="Low",ISNUMBER(SEARCH("to verify",F399)),ISNUMBER(SEARCH("requires verification",F399))),"Backlog","P400")))))</f>
        <v/>
      </c>
    </row>
    <row r="400" ht="15.75" customHeight="1">
      <c r="H400" s="13"/>
      <c r="L400" s="13" t="str">
        <f>IF(A400="","",IF(OR(COUNTIF('Priority Rules'!$A$2:$A$24,A400)&gt;0,COUNTIF('Priority Rules'!$B$2:$B$8,B400)&gt;0),"P399",IF(COUNTIF('Priority Rules'!$C$2:$C$9,A400)&gt;0,"P400",IF(AND(OR(ISNUMBER(SEARCH("Varadero",C400)),ISNUMBER(SEARCH("Cayo Coco",C400)),ISNUMBER(SEARCH("Cayo Santa María",C400)),ISNUMBER(SEARCH("Cayo Santa Maria",C400)),ISNUMBER(SEARCH("Cayo Guillermo",C400)),ISNUMBER(SEARCH("Cayo Las Brujas",C400)),ISNUMBER(SEARCH("Cayo Ensenachos",C400)),ISNUMBER(SEARCH("Holguín",C400)),ISNUMBER(SEARCH("Holguin",C400)),ISNUMBER(SEARCH("Havana",C400)),ISNUMBER(SEARCH("Old Havana",C400)),ISNUMBER(SEARCH("Vedado",C400)),ISNUMBER(SEARCH("Miramar",C400))),NOT(ISNUMBER(SEARCH("historical",F400)))),"P400",IF(OR(ISNUMBER(SEARCH("historical",F400)),H400="Low",ISNUMBER(SEARCH("to verify",F400)),ISNUMBER(SEARCH("requires verification",F400))),"Backlog","P401")))))</f>
        <v/>
      </c>
    </row>
    <row r="401" ht="15.75" customHeight="1">
      <c r="H401" s="13"/>
      <c r="L401" s="13" t="str">
        <f>IF(A401="","",IF(OR(COUNTIF('Priority Rules'!$A$2:$A$24,A401)&gt;0,COUNTIF('Priority Rules'!$B$2:$B$8,B401)&gt;0),"P400",IF(COUNTIF('Priority Rules'!$C$2:$C$9,A401)&gt;0,"P401",IF(AND(OR(ISNUMBER(SEARCH("Varadero",C401)),ISNUMBER(SEARCH("Cayo Coco",C401)),ISNUMBER(SEARCH("Cayo Santa María",C401)),ISNUMBER(SEARCH("Cayo Santa Maria",C401)),ISNUMBER(SEARCH("Cayo Guillermo",C401)),ISNUMBER(SEARCH("Cayo Las Brujas",C401)),ISNUMBER(SEARCH("Cayo Ensenachos",C401)),ISNUMBER(SEARCH("Holguín",C401)),ISNUMBER(SEARCH("Holguin",C401)),ISNUMBER(SEARCH("Havana",C401)),ISNUMBER(SEARCH("Old Havana",C401)),ISNUMBER(SEARCH("Vedado",C401)),ISNUMBER(SEARCH("Miramar",C401))),NOT(ISNUMBER(SEARCH("historical",F401)))),"P401",IF(OR(ISNUMBER(SEARCH("historical",F401)),H401="Low",ISNUMBER(SEARCH("to verify",F401)),ISNUMBER(SEARCH("requires verification",F401))),"Backlog","P402")))))</f>
        <v/>
      </c>
    </row>
    <row r="402" ht="15.75" customHeight="1">
      <c r="H402" s="13"/>
      <c r="L402" s="13" t="str">
        <f>IF(A402="","",IF(OR(COUNTIF('Priority Rules'!$A$2:$A$24,A402)&gt;0,COUNTIF('Priority Rules'!$B$2:$B$8,B402)&gt;0),"P401",IF(COUNTIF('Priority Rules'!$C$2:$C$9,A402)&gt;0,"P402",IF(AND(OR(ISNUMBER(SEARCH("Varadero",C402)),ISNUMBER(SEARCH("Cayo Coco",C402)),ISNUMBER(SEARCH("Cayo Santa María",C402)),ISNUMBER(SEARCH("Cayo Santa Maria",C402)),ISNUMBER(SEARCH("Cayo Guillermo",C402)),ISNUMBER(SEARCH("Cayo Las Brujas",C402)),ISNUMBER(SEARCH("Cayo Ensenachos",C402)),ISNUMBER(SEARCH("Holguín",C402)),ISNUMBER(SEARCH("Holguin",C402)),ISNUMBER(SEARCH("Havana",C402)),ISNUMBER(SEARCH("Old Havana",C402)),ISNUMBER(SEARCH("Vedado",C402)),ISNUMBER(SEARCH("Miramar",C402))),NOT(ISNUMBER(SEARCH("historical",F402)))),"P402",IF(OR(ISNUMBER(SEARCH("historical",F402)),H402="Low",ISNUMBER(SEARCH("to verify",F402)),ISNUMBER(SEARCH("requires verification",F402))),"Backlog","P403")))))</f>
        <v/>
      </c>
    </row>
    <row r="403" ht="15.75" customHeight="1">
      <c r="H403" s="13"/>
      <c r="L403" s="13" t="str">
        <f>IF(A403="","",IF(OR(COUNTIF('Priority Rules'!$A$2:$A$24,A403)&gt;0,COUNTIF('Priority Rules'!$B$2:$B$8,B403)&gt;0),"P402",IF(COUNTIF('Priority Rules'!$C$2:$C$9,A403)&gt;0,"P403",IF(AND(OR(ISNUMBER(SEARCH("Varadero",C403)),ISNUMBER(SEARCH("Cayo Coco",C403)),ISNUMBER(SEARCH("Cayo Santa María",C403)),ISNUMBER(SEARCH("Cayo Santa Maria",C403)),ISNUMBER(SEARCH("Cayo Guillermo",C403)),ISNUMBER(SEARCH("Cayo Las Brujas",C403)),ISNUMBER(SEARCH("Cayo Ensenachos",C403)),ISNUMBER(SEARCH("Holguín",C403)),ISNUMBER(SEARCH("Holguin",C403)),ISNUMBER(SEARCH("Havana",C403)),ISNUMBER(SEARCH("Old Havana",C403)),ISNUMBER(SEARCH("Vedado",C403)),ISNUMBER(SEARCH("Miramar",C403))),NOT(ISNUMBER(SEARCH("historical",F403)))),"P403",IF(OR(ISNUMBER(SEARCH("historical",F403)),H403="Low",ISNUMBER(SEARCH("to verify",F403)),ISNUMBER(SEARCH("requires verification",F403))),"Backlog","P404")))))</f>
        <v/>
      </c>
    </row>
    <row r="404" ht="15.75" customHeight="1">
      <c r="H404" s="13"/>
      <c r="L404" s="13" t="str">
        <f>IF(A404="","",IF(OR(COUNTIF('Priority Rules'!$A$2:$A$24,A404)&gt;0,COUNTIF('Priority Rules'!$B$2:$B$8,B404)&gt;0),"P403",IF(COUNTIF('Priority Rules'!$C$2:$C$9,A404)&gt;0,"P404",IF(AND(OR(ISNUMBER(SEARCH("Varadero",C404)),ISNUMBER(SEARCH("Cayo Coco",C404)),ISNUMBER(SEARCH("Cayo Santa María",C404)),ISNUMBER(SEARCH("Cayo Santa Maria",C404)),ISNUMBER(SEARCH("Cayo Guillermo",C404)),ISNUMBER(SEARCH("Cayo Las Brujas",C404)),ISNUMBER(SEARCH("Cayo Ensenachos",C404)),ISNUMBER(SEARCH("Holguín",C404)),ISNUMBER(SEARCH("Holguin",C404)),ISNUMBER(SEARCH("Havana",C404)),ISNUMBER(SEARCH("Old Havana",C404)),ISNUMBER(SEARCH("Vedado",C404)),ISNUMBER(SEARCH("Miramar",C404))),NOT(ISNUMBER(SEARCH("historical",F404)))),"P404",IF(OR(ISNUMBER(SEARCH("historical",F404)),H404="Low",ISNUMBER(SEARCH("to verify",F404)),ISNUMBER(SEARCH("requires verification",F404))),"Backlog","P405")))))</f>
        <v/>
      </c>
    </row>
    <row r="405" ht="15.75" customHeight="1">
      <c r="H405" s="13"/>
      <c r="L405" s="13" t="str">
        <f>IF(A405="","",IF(OR(COUNTIF('Priority Rules'!$A$2:$A$24,A405)&gt;0,COUNTIF('Priority Rules'!$B$2:$B$8,B405)&gt;0),"P404",IF(COUNTIF('Priority Rules'!$C$2:$C$9,A405)&gt;0,"P405",IF(AND(OR(ISNUMBER(SEARCH("Varadero",C405)),ISNUMBER(SEARCH("Cayo Coco",C405)),ISNUMBER(SEARCH("Cayo Santa María",C405)),ISNUMBER(SEARCH("Cayo Santa Maria",C405)),ISNUMBER(SEARCH("Cayo Guillermo",C405)),ISNUMBER(SEARCH("Cayo Las Brujas",C405)),ISNUMBER(SEARCH("Cayo Ensenachos",C405)),ISNUMBER(SEARCH("Holguín",C405)),ISNUMBER(SEARCH("Holguin",C405)),ISNUMBER(SEARCH("Havana",C405)),ISNUMBER(SEARCH("Old Havana",C405)),ISNUMBER(SEARCH("Vedado",C405)),ISNUMBER(SEARCH("Miramar",C405))),NOT(ISNUMBER(SEARCH("historical",F405)))),"P405",IF(OR(ISNUMBER(SEARCH("historical",F405)),H405="Low",ISNUMBER(SEARCH("to verify",F405)),ISNUMBER(SEARCH("requires verification",F405))),"Backlog","P406")))))</f>
        <v/>
      </c>
    </row>
    <row r="406" ht="15.75" customHeight="1">
      <c r="H406" s="13"/>
      <c r="L406" s="13" t="str">
        <f>IF(A406="","",IF(OR(COUNTIF('Priority Rules'!$A$2:$A$24,A406)&gt;0,COUNTIF('Priority Rules'!$B$2:$B$8,B406)&gt;0),"P405",IF(COUNTIF('Priority Rules'!$C$2:$C$9,A406)&gt;0,"P406",IF(AND(OR(ISNUMBER(SEARCH("Varadero",C406)),ISNUMBER(SEARCH("Cayo Coco",C406)),ISNUMBER(SEARCH("Cayo Santa María",C406)),ISNUMBER(SEARCH("Cayo Santa Maria",C406)),ISNUMBER(SEARCH("Cayo Guillermo",C406)),ISNUMBER(SEARCH("Cayo Las Brujas",C406)),ISNUMBER(SEARCH("Cayo Ensenachos",C406)),ISNUMBER(SEARCH("Holguín",C406)),ISNUMBER(SEARCH("Holguin",C406)),ISNUMBER(SEARCH("Havana",C406)),ISNUMBER(SEARCH("Old Havana",C406)),ISNUMBER(SEARCH("Vedado",C406)),ISNUMBER(SEARCH("Miramar",C406))),NOT(ISNUMBER(SEARCH("historical",F406)))),"P406",IF(OR(ISNUMBER(SEARCH("historical",F406)),H406="Low",ISNUMBER(SEARCH("to verify",F406)),ISNUMBER(SEARCH("requires verification",F406))),"Backlog","P407")))))</f>
        <v/>
      </c>
    </row>
    <row r="407" ht="15.75" customHeight="1">
      <c r="H407" s="13"/>
      <c r="L407" s="13" t="str">
        <f>IF(A407="","",IF(OR(COUNTIF('Priority Rules'!$A$2:$A$24,A407)&gt;0,COUNTIF('Priority Rules'!$B$2:$B$8,B407)&gt;0),"P406",IF(COUNTIF('Priority Rules'!$C$2:$C$9,A407)&gt;0,"P407",IF(AND(OR(ISNUMBER(SEARCH("Varadero",C407)),ISNUMBER(SEARCH("Cayo Coco",C407)),ISNUMBER(SEARCH("Cayo Santa María",C407)),ISNUMBER(SEARCH("Cayo Santa Maria",C407)),ISNUMBER(SEARCH("Cayo Guillermo",C407)),ISNUMBER(SEARCH("Cayo Las Brujas",C407)),ISNUMBER(SEARCH("Cayo Ensenachos",C407)),ISNUMBER(SEARCH("Holguín",C407)),ISNUMBER(SEARCH("Holguin",C407)),ISNUMBER(SEARCH("Havana",C407)),ISNUMBER(SEARCH("Old Havana",C407)),ISNUMBER(SEARCH("Vedado",C407)),ISNUMBER(SEARCH("Miramar",C407))),NOT(ISNUMBER(SEARCH("historical",F407)))),"P407",IF(OR(ISNUMBER(SEARCH("historical",F407)),H407="Low",ISNUMBER(SEARCH("to verify",F407)),ISNUMBER(SEARCH("requires verification",F407))),"Backlog","P408")))))</f>
        <v/>
      </c>
    </row>
    <row r="408" ht="15.75" customHeight="1">
      <c r="H408" s="13"/>
      <c r="L408" s="13" t="str">
        <f>IF(A408="","",IF(OR(COUNTIF('Priority Rules'!$A$2:$A$24,A408)&gt;0,COUNTIF('Priority Rules'!$B$2:$B$8,B408)&gt;0),"P407",IF(COUNTIF('Priority Rules'!$C$2:$C$9,A408)&gt;0,"P408",IF(AND(OR(ISNUMBER(SEARCH("Varadero",C408)),ISNUMBER(SEARCH("Cayo Coco",C408)),ISNUMBER(SEARCH("Cayo Santa María",C408)),ISNUMBER(SEARCH("Cayo Santa Maria",C408)),ISNUMBER(SEARCH("Cayo Guillermo",C408)),ISNUMBER(SEARCH("Cayo Las Brujas",C408)),ISNUMBER(SEARCH("Cayo Ensenachos",C408)),ISNUMBER(SEARCH("Holguín",C408)),ISNUMBER(SEARCH("Holguin",C408)),ISNUMBER(SEARCH("Havana",C408)),ISNUMBER(SEARCH("Old Havana",C408)),ISNUMBER(SEARCH("Vedado",C408)),ISNUMBER(SEARCH("Miramar",C408))),NOT(ISNUMBER(SEARCH("historical",F408)))),"P408",IF(OR(ISNUMBER(SEARCH("historical",F408)),H408="Low",ISNUMBER(SEARCH("to verify",F408)),ISNUMBER(SEARCH("requires verification",F408))),"Backlog","P409")))))</f>
        <v/>
      </c>
    </row>
    <row r="409" ht="15.75" customHeight="1">
      <c r="H409" s="13"/>
      <c r="L409" s="13" t="str">
        <f>IF(A409="","",IF(OR(COUNTIF('Priority Rules'!$A$2:$A$24,A409)&gt;0,COUNTIF('Priority Rules'!$B$2:$B$8,B409)&gt;0),"P408",IF(COUNTIF('Priority Rules'!$C$2:$C$9,A409)&gt;0,"P409",IF(AND(OR(ISNUMBER(SEARCH("Varadero",C409)),ISNUMBER(SEARCH("Cayo Coco",C409)),ISNUMBER(SEARCH("Cayo Santa María",C409)),ISNUMBER(SEARCH("Cayo Santa Maria",C409)),ISNUMBER(SEARCH("Cayo Guillermo",C409)),ISNUMBER(SEARCH("Cayo Las Brujas",C409)),ISNUMBER(SEARCH("Cayo Ensenachos",C409)),ISNUMBER(SEARCH("Holguín",C409)),ISNUMBER(SEARCH("Holguin",C409)),ISNUMBER(SEARCH("Havana",C409)),ISNUMBER(SEARCH("Old Havana",C409)),ISNUMBER(SEARCH("Vedado",C409)),ISNUMBER(SEARCH("Miramar",C409))),NOT(ISNUMBER(SEARCH("historical",F409)))),"P409",IF(OR(ISNUMBER(SEARCH("historical",F409)),H409="Low",ISNUMBER(SEARCH("to verify",F409)),ISNUMBER(SEARCH("requires verification",F409))),"Backlog","P410")))))</f>
        <v/>
      </c>
    </row>
    <row r="410" ht="15.75" customHeight="1">
      <c r="H410" s="13"/>
      <c r="L410" s="13" t="str">
        <f>IF(A410="","",IF(OR(COUNTIF('Priority Rules'!$A$2:$A$24,A410)&gt;0,COUNTIF('Priority Rules'!$B$2:$B$8,B410)&gt;0),"P409",IF(COUNTIF('Priority Rules'!$C$2:$C$9,A410)&gt;0,"P410",IF(AND(OR(ISNUMBER(SEARCH("Varadero",C410)),ISNUMBER(SEARCH("Cayo Coco",C410)),ISNUMBER(SEARCH("Cayo Santa María",C410)),ISNUMBER(SEARCH("Cayo Santa Maria",C410)),ISNUMBER(SEARCH("Cayo Guillermo",C410)),ISNUMBER(SEARCH("Cayo Las Brujas",C410)),ISNUMBER(SEARCH("Cayo Ensenachos",C410)),ISNUMBER(SEARCH("Holguín",C410)),ISNUMBER(SEARCH("Holguin",C410)),ISNUMBER(SEARCH("Havana",C410)),ISNUMBER(SEARCH("Old Havana",C410)),ISNUMBER(SEARCH("Vedado",C410)),ISNUMBER(SEARCH("Miramar",C410))),NOT(ISNUMBER(SEARCH("historical",F410)))),"P410",IF(OR(ISNUMBER(SEARCH("historical",F410)),H410="Low",ISNUMBER(SEARCH("to verify",F410)),ISNUMBER(SEARCH("requires verification",F410))),"Backlog","P411")))))</f>
        <v/>
      </c>
    </row>
    <row r="411" ht="15.75" customHeight="1">
      <c r="H411" s="13"/>
      <c r="L411" s="13" t="str">
        <f>IF(A411="","",IF(OR(COUNTIF('Priority Rules'!$A$2:$A$24,A411)&gt;0,COUNTIF('Priority Rules'!$B$2:$B$8,B411)&gt;0),"P410",IF(COUNTIF('Priority Rules'!$C$2:$C$9,A411)&gt;0,"P411",IF(AND(OR(ISNUMBER(SEARCH("Varadero",C411)),ISNUMBER(SEARCH("Cayo Coco",C411)),ISNUMBER(SEARCH("Cayo Santa María",C411)),ISNUMBER(SEARCH("Cayo Santa Maria",C411)),ISNUMBER(SEARCH("Cayo Guillermo",C411)),ISNUMBER(SEARCH("Cayo Las Brujas",C411)),ISNUMBER(SEARCH("Cayo Ensenachos",C411)),ISNUMBER(SEARCH("Holguín",C411)),ISNUMBER(SEARCH("Holguin",C411)),ISNUMBER(SEARCH("Havana",C411)),ISNUMBER(SEARCH("Old Havana",C411)),ISNUMBER(SEARCH("Vedado",C411)),ISNUMBER(SEARCH("Miramar",C411))),NOT(ISNUMBER(SEARCH("historical",F411)))),"P411",IF(OR(ISNUMBER(SEARCH("historical",F411)),H411="Low",ISNUMBER(SEARCH("to verify",F411)),ISNUMBER(SEARCH("requires verification",F411))),"Backlog","P412")))))</f>
        <v/>
      </c>
    </row>
    <row r="412" ht="15.75" customHeight="1">
      <c r="H412" s="13"/>
      <c r="L412" s="13" t="str">
        <f>IF(A412="","",IF(OR(COUNTIF('Priority Rules'!$A$2:$A$24,A412)&gt;0,COUNTIF('Priority Rules'!$B$2:$B$8,B412)&gt;0),"P411",IF(COUNTIF('Priority Rules'!$C$2:$C$9,A412)&gt;0,"P412",IF(AND(OR(ISNUMBER(SEARCH("Varadero",C412)),ISNUMBER(SEARCH("Cayo Coco",C412)),ISNUMBER(SEARCH("Cayo Santa María",C412)),ISNUMBER(SEARCH("Cayo Santa Maria",C412)),ISNUMBER(SEARCH("Cayo Guillermo",C412)),ISNUMBER(SEARCH("Cayo Las Brujas",C412)),ISNUMBER(SEARCH("Cayo Ensenachos",C412)),ISNUMBER(SEARCH("Holguín",C412)),ISNUMBER(SEARCH("Holguin",C412)),ISNUMBER(SEARCH("Havana",C412)),ISNUMBER(SEARCH("Old Havana",C412)),ISNUMBER(SEARCH("Vedado",C412)),ISNUMBER(SEARCH("Miramar",C412))),NOT(ISNUMBER(SEARCH("historical",F412)))),"P412",IF(OR(ISNUMBER(SEARCH("historical",F412)),H412="Low",ISNUMBER(SEARCH("to verify",F412)),ISNUMBER(SEARCH("requires verification",F412))),"Backlog","P413")))))</f>
        <v/>
      </c>
    </row>
    <row r="413" ht="15.75" customHeight="1">
      <c r="H413" s="13"/>
      <c r="L413" s="13" t="str">
        <f>IF(A413="","",IF(OR(COUNTIF('Priority Rules'!$A$2:$A$24,A413)&gt;0,COUNTIF('Priority Rules'!$B$2:$B$8,B413)&gt;0),"P412",IF(COUNTIF('Priority Rules'!$C$2:$C$9,A413)&gt;0,"P413",IF(AND(OR(ISNUMBER(SEARCH("Varadero",C413)),ISNUMBER(SEARCH("Cayo Coco",C413)),ISNUMBER(SEARCH("Cayo Santa María",C413)),ISNUMBER(SEARCH("Cayo Santa Maria",C413)),ISNUMBER(SEARCH("Cayo Guillermo",C413)),ISNUMBER(SEARCH("Cayo Las Brujas",C413)),ISNUMBER(SEARCH("Cayo Ensenachos",C413)),ISNUMBER(SEARCH("Holguín",C413)),ISNUMBER(SEARCH("Holguin",C413)),ISNUMBER(SEARCH("Havana",C413)),ISNUMBER(SEARCH("Old Havana",C413)),ISNUMBER(SEARCH("Vedado",C413)),ISNUMBER(SEARCH("Miramar",C413))),NOT(ISNUMBER(SEARCH("historical",F413)))),"P413",IF(OR(ISNUMBER(SEARCH("historical",F413)),H413="Low",ISNUMBER(SEARCH("to verify",F413)),ISNUMBER(SEARCH("requires verification",F413))),"Backlog","P414")))))</f>
        <v/>
      </c>
    </row>
    <row r="414" ht="15.75" customHeight="1">
      <c r="H414" s="13"/>
      <c r="L414" s="13" t="str">
        <f>IF(A414="","",IF(OR(COUNTIF('Priority Rules'!$A$2:$A$24,A414)&gt;0,COUNTIF('Priority Rules'!$B$2:$B$8,B414)&gt;0),"P413",IF(COUNTIF('Priority Rules'!$C$2:$C$9,A414)&gt;0,"P414",IF(AND(OR(ISNUMBER(SEARCH("Varadero",C414)),ISNUMBER(SEARCH("Cayo Coco",C414)),ISNUMBER(SEARCH("Cayo Santa María",C414)),ISNUMBER(SEARCH("Cayo Santa Maria",C414)),ISNUMBER(SEARCH("Cayo Guillermo",C414)),ISNUMBER(SEARCH("Cayo Las Brujas",C414)),ISNUMBER(SEARCH("Cayo Ensenachos",C414)),ISNUMBER(SEARCH("Holguín",C414)),ISNUMBER(SEARCH("Holguin",C414)),ISNUMBER(SEARCH("Havana",C414)),ISNUMBER(SEARCH("Old Havana",C414)),ISNUMBER(SEARCH("Vedado",C414)),ISNUMBER(SEARCH("Miramar",C414))),NOT(ISNUMBER(SEARCH("historical",F414)))),"P414",IF(OR(ISNUMBER(SEARCH("historical",F414)),H414="Low",ISNUMBER(SEARCH("to verify",F414)),ISNUMBER(SEARCH("requires verification",F414))),"Backlog","P415")))))</f>
        <v/>
      </c>
    </row>
    <row r="415" ht="15.75" customHeight="1">
      <c r="H415" s="13"/>
      <c r="L415" s="13" t="str">
        <f>IF(A415="","",IF(OR(COUNTIF('Priority Rules'!$A$2:$A$24,A415)&gt;0,COUNTIF('Priority Rules'!$B$2:$B$8,B415)&gt;0),"P414",IF(COUNTIF('Priority Rules'!$C$2:$C$9,A415)&gt;0,"P415",IF(AND(OR(ISNUMBER(SEARCH("Varadero",C415)),ISNUMBER(SEARCH("Cayo Coco",C415)),ISNUMBER(SEARCH("Cayo Santa María",C415)),ISNUMBER(SEARCH("Cayo Santa Maria",C415)),ISNUMBER(SEARCH("Cayo Guillermo",C415)),ISNUMBER(SEARCH("Cayo Las Brujas",C415)),ISNUMBER(SEARCH("Cayo Ensenachos",C415)),ISNUMBER(SEARCH("Holguín",C415)),ISNUMBER(SEARCH("Holguin",C415)),ISNUMBER(SEARCH("Havana",C415)),ISNUMBER(SEARCH("Old Havana",C415)),ISNUMBER(SEARCH("Vedado",C415)),ISNUMBER(SEARCH("Miramar",C415))),NOT(ISNUMBER(SEARCH("historical",F415)))),"P415",IF(OR(ISNUMBER(SEARCH("historical",F415)),H415="Low",ISNUMBER(SEARCH("to verify",F415)),ISNUMBER(SEARCH("requires verification",F415))),"Backlog","P416")))))</f>
        <v/>
      </c>
    </row>
    <row r="416" ht="15.75" customHeight="1">
      <c r="H416" s="13"/>
      <c r="L416" s="13" t="str">
        <f>IF(A416="","",IF(OR(COUNTIF('Priority Rules'!$A$2:$A$24,A416)&gt;0,COUNTIF('Priority Rules'!$B$2:$B$8,B416)&gt;0),"P415",IF(COUNTIF('Priority Rules'!$C$2:$C$9,A416)&gt;0,"P416",IF(AND(OR(ISNUMBER(SEARCH("Varadero",C416)),ISNUMBER(SEARCH("Cayo Coco",C416)),ISNUMBER(SEARCH("Cayo Santa María",C416)),ISNUMBER(SEARCH("Cayo Santa Maria",C416)),ISNUMBER(SEARCH("Cayo Guillermo",C416)),ISNUMBER(SEARCH("Cayo Las Brujas",C416)),ISNUMBER(SEARCH("Cayo Ensenachos",C416)),ISNUMBER(SEARCH("Holguín",C416)),ISNUMBER(SEARCH("Holguin",C416)),ISNUMBER(SEARCH("Havana",C416)),ISNUMBER(SEARCH("Old Havana",C416)),ISNUMBER(SEARCH("Vedado",C416)),ISNUMBER(SEARCH("Miramar",C416))),NOT(ISNUMBER(SEARCH("historical",F416)))),"P416",IF(OR(ISNUMBER(SEARCH("historical",F416)),H416="Low",ISNUMBER(SEARCH("to verify",F416)),ISNUMBER(SEARCH("requires verification",F416))),"Backlog","P417")))))</f>
        <v/>
      </c>
    </row>
    <row r="417" ht="15.75" customHeight="1">
      <c r="H417" s="13"/>
      <c r="L417" s="13" t="str">
        <f>IF(A417="","",IF(OR(COUNTIF('Priority Rules'!$A$2:$A$24,A417)&gt;0,COUNTIF('Priority Rules'!$B$2:$B$8,B417)&gt;0),"P416",IF(COUNTIF('Priority Rules'!$C$2:$C$9,A417)&gt;0,"P417",IF(AND(OR(ISNUMBER(SEARCH("Varadero",C417)),ISNUMBER(SEARCH("Cayo Coco",C417)),ISNUMBER(SEARCH("Cayo Santa María",C417)),ISNUMBER(SEARCH("Cayo Santa Maria",C417)),ISNUMBER(SEARCH("Cayo Guillermo",C417)),ISNUMBER(SEARCH("Cayo Las Brujas",C417)),ISNUMBER(SEARCH("Cayo Ensenachos",C417)),ISNUMBER(SEARCH("Holguín",C417)),ISNUMBER(SEARCH("Holguin",C417)),ISNUMBER(SEARCH("Havana",C417)),ISNUMBER(SEARCH("Old Havana",C417)),ISNUMBER(SEARCH("Vedado",C417)),ISNUMBER(SEARCH("Miramar",C417))),NOT(ISNUMBER(SEARCH("historical",F417)))),"P417",IF(OR(ISNUMBER(SEARCH("historical",F417)),H417="Low",ISNUMBER(SEARCH("to verify",F417)),ISNUMBER(SEARCH("requires verification",F417))),"Backlog","P418")))))</f>
        <v/>
      </c>
    </row>
    <row r="418" ht="15.75" customHeight="1">
      <c r="H418" s="13"/>
      <c r="L418" s="13" t="str">
        <f>IF(A418="","",IF(OR(COUNTIF('Priority Rules'!$A$2:$A$24,A418)&gt;0,COUNTIF('Priority Rules'!$B$2:$B$8,B418)&gt;0),"P417",IF(COUNTIF('Priority Rules'!$C$2:$C$9,A418)&gt;0,"P418",IF(AND(OR(ISNUMBER(SEARCH("Varadero",C418)),ISNUMBER(SEARCH("Cayo Coco",C418)),ISNUMBER(SEARCH("Cayo Santa María",C418)),ISNUMBER(SEARCH("Cayo Santa Maria",C418)),ISNUMBER(SEARCH("Cayo Guillermo",C418)),ISNUMBER(SEARCH("Cayo Las Brujas",C418)),ISNUMBER(SEARCH("Cayo Ensenachos",C418)),ISNUMBER(SEARCH("Holguín",C418)),ISNUMBER(SEARCH("Holguin",C418)),ISNUMBER(SEARCH("Havana",C418)),ISNUMBER(SEARCH("Old Havana",C418)),ISNUMBER(SEARCH("Vedado",C418)),ISNUMBER(SEARCH("Miramar",C418))),NOT(ISNUMBER(SEARCH("historical",F418)))),"P418",IF(OR(ISNUMBER(SEARCH("historical",F418)),H418="Low",ISNUMBER(SEARCH("to verify",F418)),ISNUMBER(SEARCH("requires verification",F418))),"Backlog","P419")))))</f>
        <v/>
      </c>
    </row>
    <row r="419" ht="15.75" customHeight="1">
      <c r="H419" s="13"/>
      <c r="L419" s="13" t="str">
        <f>IF(A419="","",IF(OR(COUNTIF('Priority Rules'!$A$2:$A$24,A419)&gt;0,COUNTIF('Priority Rules'!$B$2:$B$8,B419)&gt;0),"P418",IF(COUNTIF('Priority Rules'!$C$2:$C$9,A419)&gt;0,"P419",IF(AND(OR(ISNUMBER(SEARCH("Varadero",C419)),ISNUMBER(SEARCH("Cayo Coco",C419)),ISNUMBER(SEARCH("Cayo Santa María",C419)),ISNUMBER(SEARCH("Cayo Santa Maria",C419)),ISNUMBER(SEARCH("Cayo Guillermo",C419)),ISNUMBER(SEARCH("Cayo Las Brujas",C419)),ISNUMBER(SEARCH("Cayo Ensenachos",C419)),ISNUMBER(SEARCH("Holguín",C419)),ISNUMBER(SEARCH("Holguin",C419)),ISNUMBER(SEARCH("Havana",C419)),ISNUMBER(SEARCH("Old Havana",C419)),ISNUMBER(SEARCH("Vedado",C419)),ISNUMBER(SEARCH("Miramar",C419))),NOT(ISNUMBER(SEARCH("historical",F419)))),"P419",IF(OR(ISNUMBER(SEARCH("historical",F419)),H419="Low",ISNUMBER(SEARCH("to verify",F419)),ISNUMBER(SEARCH("requires verification",F419))),"Backlog","P420")))))</f>
        <v/>
      </c>
    </row>
    <row r="420" ht="15.75" customHeight="1">
      <c r="H420" s="13"/>
      <c r="L420" s="13" t="str">
        <f>IF(A420="","",IF(OR(COUNTIF('Priority Rules'!$A$2:$A$24,A420)&gt;0,COUNTIF('Priority Rules'!$B$2:$B$8,B420)&gt;0),"P419",IF(COUNTIF('Priority Rules'!$C$2:$C$9,A420)&gt;0,"P420",IF(AND(OR(ISNUMBER(SEARCH("Varadero",C420)),ISNUMBER(SEARCH("Cayo Coco",C420)),ISNUMBER(SEARCH("Cayo Santa María",C420)),ISNUMBER(SEARCH("Cayo Santa Maria",C420)),ISNUMBER(SEARCH("Cayo Guillermo",C420)),ISNUMBER(SEARCH("Cayo Las Brujas",C420)),ISNUMBER(SEARCH("Cayo Ensenachos",C420)),ISNUMBER(SEARCH("Holguín",C420)),ISNUMBER(SEARCH("Holguin",C420)),ISNUMBER(SEARCH("Havana",C420)),ISNUMBER(SEARCH("Old Havana",C420)),ISNUMBER(SEARCH("Vedado",C420)),ISNUMBER(SEARCH("Miramar",C420))),NOT(ISNUMBER(SEARCH("historical",F420)))),"P420",IF(OR(ISNUMBER(SEARCH("historical",F420)),H420="Low",ISNUMBER(SEARCH("to verify",F420)),ISNUMBER(SEARCH("requires verification",F420))),"Backlog","P421")))))</f>
        <v/>
      </c>
    </row>
    <row r="421" ht="15.75" customHeight="1">
      <c r="H421" s="13"/>
      <c r="L421" s="13" t="str">
        <f>IF(A421="","",IF(OR(COUNTIF('Priority Rules'!$A$2:$A$24,A421)&gt;0,COUNTIF('Priority Rules'!$B$2:$B$8,B421)&gt;0),"P420",IF(COUNTIF('Priority Rules'!$C$2:$C$9,A421)&gt;0,"P421",IF(AND(OR(ISNUMBER(SEARCH("Varadero",C421)),ISNUMBER(SEARCH("Cayo Coco",C421)),ISNUMBER(SEARCH("Cayo Santa María",C421)),ISNUMBER(SEARCH("Cayo Santa Maria",C421)),ISNUMBER(SEARCH("Cayo Guillermo",C421)),ISNUMBER(SEARCH("Cayo Las Brujas",C421)),ISNUMBER(SEARCH("Cayo Ensenachos",C421)),ISNUMBER(SEARCH("Holguín",C421)),ISNUMBER(SEARCH("Holguin",C421)),ISNUMBER(SEARCH("Havana",C421)),ISNUMBER(SEARCH("Old Havana",C421)),ISNUMBER(SEARCH("Vedado",C421)),ISNUMBER(SEARCH("Miramar",C421))),NOT(ISNUMBER(SEARCH("historical",F421)))),"P421",IF(OR(ISNUMBER(SEARCH("historical",F421)),H421="Low",ISNUMBER(SEARCH("to verify",F421)),ISNUMBER(SEARCH("requires verification",F421))),"Backlog","P422")))))</f>
        <v/>
      </c>
    </row>
    <row r="422" ht="15.75" customHeight="1">
      <c r="H422" s="13"/>
      <c r="L422" s="13" t="str">
        <f>IF(A422="","",IF(OR(COUNTIF('Priority Rules'!$A$2:$A$24,A422)&gt;0,COUNTIF('Priority Rules'!$B$2:$B$8,B422)&gt;0),"P421",IF(COUNTIF('Priority Rules'!$C$2:$C$9,A422)&gt;0,"P422",IF(AND(OR(ISNUMBER(SEARCH("Varadero",C422)),ISNUMBER(SEARCH("Cayo Coco",C422)),ISNUMBER(SEARCH("Cayo Santa María",C422)),ISNUMBER(SEARCH("Cayo Santa Maria",C422)),ISNUMBER(SEARCH("Cayo Guillermo",C422)),ISNUMBER(SEARCH("Cayo Las Brujas",C422)),ISNUMBER(SEARCH("Cayo Ensenachos",C422)),ISNUMBER(SEARCH("Holguín",C422)),ISNUMBER(SEARCH("Holguin",C422)),ISNUMBER(SEARCH("Havana",C422)),ISNUMBER(SEARCH("Old Havana",C422)),ISNUMBER(SEARCH("Vedado",C422)),ISNUMBER(SEARCH("Miramar",C422))),NOT(ISNUMBER(SEARCH("historical",F422)))),"P422",IF(OR(ISNUMBER(SEARCH("historical",F422)),H422="Low",ISNUMBER(SEARCH("to verify",F422)),ISNUMBER(SEARCH("requires verification",F422))),"Backlog","P423")))))</f>
        <v/>
      </c>
    </row>
    <row r="423" ht="15.75" customHeight="1">
      <c r="H423" s="13"/>
      <c r="L423" s="13" t="str">
        <f>IF(A423="","",IF(OR(COUNTIF('Priority Rules'!$A$2:$A$24,A423)&gt;0,COUNTIF('Priority Rules'!$B$2:$B$8,B423)&gt;0),"P422",IF(COUNTIF('Priority Rules'!$C$2:$C$9,A423)&gt;0,"P423",IF(AND(OR(ISNUMBER(SEARCH("Varadero",C423)),ISNUMBER(SEARCH("Cayo Coco",C423)),ISNUMBER(SEARCH("Cayo Santa María",C423)),ISNUMBER(SEARCH("Cayo Santa Maria",C423)),ISNUMBER(SEARCH("Cayo Guillermo",C423)),ISNUMBER(SEARCH("Cayo Las Brujas",C423)),ISNUMBER(SEARCH("Cayo Ensenachos",C423)),ISNUMBER(SEARCH("Holguín",C423)),ISNUMBER(SEARCH("Holguin",C423)),ISNUMBER(SEARCH("Havana",C423)),ISNUMBER(SEARCH("Old Havana",C423)),ISNUMBER(SEARCH("Vedado",C423)),ISNUMBER(SEARCH("Miramar",C423))),NOT(ISNUMBER(SEARCH("historical",F423)))),"P423",IF(OR(ISNUMBER(SEARCH("historical",F423)),H423="Low",ISNUMBER(SEARCH("to verify",F423)),ISNUMBER(SEARCH("requires verification",F423))),"Backlog","P424")))))</f>
        <v/>
      </c>
    </row>
    <row r="424" ht="15.75" customHeight="1">
      <c r="H424" s="13"/>
      <c r="L424" s="13" t="str">
        <f>IF(A424="","",IF(OR(COUNTIF('Priority Rules'!$A$2:$A$24,A424)&gt;0,COUNTIF('Priority Rules'!$B$2:$B$8,B424)&gt;0),"P423",IF(COUNTIF('Priority Rules'!$C$2:$C$9,A424)&gt;0,"P424",IF(AND(OR(ISNUMBER(SEARCH("Varadero",C424)),ISNUMBER(SEARCH("Cayo Coco",C424)),ISNUMBER(SEARCH("Cayo Santa María",C424)),ISNUMBER(SEARCH("Cayo Santa Maria",C424)),ISNUMBER(SEARCH("Cayo Guillermo",C424)),ISNUMBER(SEARCH("Cayo Las Brujas",C424)),ISNUMBER(SEARCH("Cayo Ensenachos",C424)),ISNUMBER(SEARCH("Holguín",C424)),ISNUMBER(SEARCH("Holguin",C424)),ISNUMBER(SEARCH("Havana",C424)),ISNUMBER(SEARCH("Old Havana",C424)),ISNUMBER(SEARCH("Vedado",C424)),ISNUMBER(SEARCH("Miramar",C424))),NOT(ISNUMBER(SEARCH("historical",F424)))),"P424",IF(OR(ISNUMBER(SEARCH("historical",F424)),H424="Low",ISNUMBER(SEARCH("to verify",F424)),ISNUMBER(SEARCH("requires verification",F424))),"Backlog","P425")))))</f>
        <v/>
      </c>
    </row>
    <row r="425" ht="15.75" customHeight="1">
      <c r="H425" s="13"/>
      <c r="L425" s="13" t="str">
        <f>IF(A425="","",IF(OR(COUNTIF('Priority Rules'!$A$2:$A$24,A425)&gt;0,COUNTIF('Priority Rules'!$B$2:$B$8,B425)&gt;0),"P424",IF(COUNTIF('Priority Rules'!$C$2:$C$9,A425)&gt;0,"P425",IF(AND(OR(ISNUMBER(SEARCH("Varadero",C425)),ISNUMBER(SEARCH("Cayo Coco",C425)),ISNUMBER(SEARCH("Cayo Santa María",C425)),ISNUMBER(SEARCH("Cayo Santa Maria",C425)),ISNUMBER(SEARCH("Cayo Guillermo",C425)),ISNUMBER(SEARCH("Cayo Las Brujas",C425)),ISNUMBER(SEARCH("Cayo Ensenachos",C425)),ISNUMBER(SEARCH("Holguín",C425)),ISNUMBER(SEARCH("Holguin",C425)),ISNUMBER(SEARCH("Havana",C425)),ISNUMBER(SEARCH("Old Havana",C425)),ISNUMBER(SEARCH("Vedado",C425)),ISNUMBER(SEARCH("Miramar",C425))),NOT(ISNUMBER(SEARCH("historical",F425)))),"P425",IF(OR(ISNUMBER(SEARCH("historical",F425)),H425="Low",ISNUMBER(SEARCH("to verify",F425)),ISNUMBER(SEARCH("requires verification",F425))),"Backlog","P426")))))</f>
        <v/>
      </c>
    </row>
    <row r="426" ht="15.75" customHeight="1">
      <c r="H426" s="13"/>
      <c r="L426" s="13" t="str">
        <f>IF(A426="","",IF(OR(COUNTIF('Priority Rules'!$A$2:$A$24,A426)&gt;0,COUNTIF('Priority Rules'!$B$2:$B$8,B426)&gt;0),"P425",IF(COUNTIF('Priority Rules'!$C$2:$C$9,A426)&gt;0,"P426",IF(AND(OR(ISNUMBER(SEARCH("Varadero",C426)),ISNUMBER(SEARCH("Cayo Coco",C426)),ISNUMBER(SEARCH("Cayo Santa María",C426)),ISNUMBER(SEARCH("Cayo Santa Maria",C426)),ISNUMBER(SEARCH("Cayo Guillermo",C426)),ISNUMBER(SEARCH("Cayo Las Brujas",C426)),ISNUMBER(SEARCH("Cayo Ensenachos",C426)),ISNUMBER(SEARCH("Holguín",C426)),ISNUMBER(SEARCH("Holguin",C426)),ISNUMBER(SEARCH("Havana",C426)),ISNUMBER(SEARCH("Old Havana",C426)),ISNUMBER(SEARCH("Vedado",C426)),ISNUMBER(SEARCH("Miramar",C426))),NOT(ISNUMBER(SEARCH("historical",F426)))),"P426",IF(OR(ISNUMBER(SEARCH("historical",F426)),H426="Low",ISNUMBER(SEARCH("to verify",F426)),ISNUMBER(SEARCH("requires verification",F426))),"Backlog","P427")))))</f>
        <v/>
      </c>
    </row>
    <row r="427" ht="15.75" customHeight="1">
      <c r="H427" s="13"/>
      <c r="L427" s="13" t="str">
        <f>IF(A427="","",IF(OR(COUNTIF('Priority Rules'!$A$2:$A$24,A427)&gt;0,COUNTIF('Priority Rules'!$B$2:$B$8,B427)&gt;0),"P426",IF(COUNTIF('Priority Rules'!$C$2:$C$9,A427)&gt;0,"P427",IF(AND(OR(ISNUMBER(SEARCH("Varadero",C427)),ISNUMBER(SEARCH("Cayo Coco",C427)),ISNUMBER(SEARCH("Cayo Santa María",C427)),ISNUMBER(SEARCH("Cayo Santa Maria",C427)),ISNUMBER(SEARCH("Cayo Guillermo",C427)),ISNUMBER(SEARCH("Cayo Las Brujas",C427)),ISNUMBER(SEARCH("Cayo Ensenachos",C427)),ISNUMBER(SEARCH("Holguín",C427)),ISNUMBER(SEARCH("Holguin",C427)),ISNUMBER(SEARCH("Havana",C427)),ISNUMBER(SEARCH("Old Havana",C427)),ISNUMBER(SEARCH("Vedado",C427)),ISNUMBER(SEARCH("Miramar",C427))),NOT(ISNUMBER(SEARCH("historical",F427)))),"P427",IF(OR(ISNUMBER(SEARCH("historical",F427)),H427="Low",ISNUMBER(SEARCH("to verify",F427)),ISNUMBER(SEARCH("requires verification",F427))),"Backlog","P428")))))</f>
        <v/>
      </c>
    </row>
    <row r="428" ht="15.75" customHeight="1">
      <c r="H428" s="13"/>
      <c r="L428" s="13" t="str">
        <f>IF(A428="","",IF(OR(COUNTIF('Priority Rules'!$A$2:$A$24,A428)&gt;0,COUNTIF('Priority Rules'!$B$2:$B$8,B428)&gt;0),"P427",IF(COUNTIF('Priority Rules'!$C$2:$C$9,A428)&gt;0,"P428",IF(AND(OR(ISNUMBER(SEARCH("Varadero",C428)),ISNUMBER(SEARCH("Cayo Coco",C428)),ISNUMBER(SEARCH("Cayo Santa María",C428)),ISNUMBER(SEARCH("Cayo Santa Maria",C428)),ISNUMBER(SEARCH("Cayo Guillermo",C428)),ISNUMBER(SEARCH("Cayo Las Brujas",C428)),ISNUMBER(SEARCH("Cayo Ensenachos",C428)),ISNUMBER(SEARCH("Holguín",C428)),ISNUMBER(SEARCH("Holguin",C428)),ISNUMBER(SEARCH("Havana",C428)),ISNUMBER(SEARCH("Old Havana",C428)),ISNUMBER(SEARCH("Vedado",C428)),ISNUMBER(SEARCH("Miramar",C428))),NOT(ISNUMBER(SEARCH("historical",F428)))),"P428",IF(OR(ISNUMBER(SEARCH("historical",F428)),H428="Low",ISNUMBER(SEARCH("to verify",F428)),ISNUMBER(SEARCH("requires verification",F428))),"Backlog","P429")))))</f>
        <v/>
      </c>
    </row>
    <row r="429" ht="15.75" customHeight="1">
      <c r="H429" s="13"/>
      <c r="L429" s="13" t="str">
        <f>IF(A429="","",IF(OR(COUNTIF('Priority Rules'!$A$2:$A$24,A429)&gt;0,COUNTIF('Priority Rules'!$B$2:$B$8,B429)&gt;0),"P428",IF(COUNTIF('Priority Rules'!$C$2:$C$9,A429)&gt;0,"P429",IF(AND(OR(ISNUMBER(SEARCH("Varadero",C429)),ISNUMBER(SEARCH("Cayo Coco",C429)),ISNUMBER(SEARCH("Cayo Santa María",C429)),ISNUMBER(SEARCH("Cayo Santa Maria",C429)),ISNUMBER(SEARCH("Cayo Guillermo",C429)),ISNUMBER(SEARCH("Cayo Las Brujas",C429)),ISNUMBER(SEARCH("Cayo Ensenachos",C429)),ISNUMBER(SEARCH("Holguín",C429)),ISNUMBER(SEARCH("Holguin",C429)),ISNUMBER(SEARCH("Havana",C429)),ISNUMBER(SEARCH("Old Havana",C429)),ISNUMBER(SEARCH("Vedado",C429)),ISNUMBER(SEARCH("Miramar",C429))),NOT(ISNUMBER(SEARCH("historical",F429)))),"P429",IF(OR(ISNUMBER(SEARCH("historical",F429)),H429="Low",ISNUMBER(SEARCH("to verify",F429)),ISNUMBER(SEARCH("requires verification",F429))),"Backlog","P430")))))</f>
        <v/>
      </c>
    </row>
    <row r="430" ht="15.75" customHeight="1">
      <c r="H430" s="13"/>
      <c r="L430" s="13" t="str">
        <f>IF(A430="","",IF(OR(COUNTIF('Priority Rules'!$A$2:$A$24,A430)&gt;0,COUNTIF('Priority Rules'!$B$2:$B$8,B430)&gt;0),"P429",IF(COUNTIF('Priority Rules'!$C$2:$C$9,A430)&gt;0,"P430",IF(AND(OR(ISNUMBER(SEARCH("Varadero",C430)),ISNUMBER(SEARCH("Cayo Coco",C430)),ISNUMBER(SEARCH("Cayo Santa María",C430)),ISNUMBER(SEARCH("Cayo Santa Maria",C430)),ISNUMBER(SEARCH("Cayo Guillermo",C430)),ISNUMBER(SEARCH("Cayo Las Brujas",C430)),ISNUMBER(SEARCH("Cayo Ensenachos",C430)),ISNUMBER(SEARCH("Holguín",C430)),ISNUMBER(SEARCH("Holguin",C430)),ISNUMBER(SEARCH("Havana",C430)),ISNUMBER(SEARCH("Old Havana",C430)),ISNUMBER(SEARCH("Vedado",C430)),ISNUMBER(SEARCH("Miramar",C430))),NOT(ISNUMBER(SEARCH("historical",F430)))),"P430",IF(OR(ISNUMBER(SEARCH("historical",F430)),H430="Low",ISNUMBER(SEARCH("to verify",F430)),ISNUMBER(SEARCH("requires verification",F430))),"Backlog","P431")))))</f>
        <v/>
      </c>
    </row>
    <row r="431" ht="15.75" customHeight="1">
      <c r="H431" s="13"/>
      <c r="L431" s="13" t="str">
        <f>IF(A431="","",IF(OR(COUNTIF('Priority Rules'!$A$2:$A$24,A431)&gt;0,COUNTIF('Priority Rules'!$B$2:$B$8,B431)&gt;0),"P430",IF(COUNTIF('Priority Rules'!$C$2:$C$9,A431)&gt;0,"P431",IF(AND(OR(ISNUMBER(SEARCH("Varadero",C431)),ISNUMBER(SEARCH("Cayo Coco",C431)),ISNUMBER(SEARCH("Cayo Santa María",C431)),ISNUMBER(SEARCH("Cayo Santa Maria",C431)),ISNUMBER(SEARCH("Cayo Guillermo",C431)),ISNUMBER(SEARCH("Cayo Las Brujas",C431)),ISNUMBER(SEARCH("Cayo Ensenachos",C431)),ISNUMBER(SEARCH("Holguín",C431)),ISNUMBER(SEARCH("Holguin",C431)),ISNUMBER(SEARCH("Havana",C431)),ISNUMBER(SEARCH("Old Havana",C431)),ISNUMBER(SEARCH("Vedado",C431)),ISNUMBER(SEARCH("Miramar",C431))),NOT(ISNUMBER(SEARCH("historical",F431)))),"P431",IF(OR(ISNUMBER(SEARCH("historical",F431)),H431="Low",ISNUMBER(SEARCH("to verify",F431)),ISNUMBER(SEARCH("requires verification",F431))),"Backlog","P432")))))</f>
        <v/>
      </c>
    </row>
    <row r="432" ht="15.75" customHeight="1">
      <c r="H432" s="13"/>
      <c r="L432" s="13" t="str">
        <f>IF(A432="","",IF(OR(COUNTIF('Priority Rules'!$A$2:$A$24,A432)&gt;0,COUNTIF('Priority Rules'!$B$2:$B$8,B432)&gt;0),"P431",IF(COUNTIF('Priority Rules'!$C$2:$C$9,A432)&gt;0,"P432",IF(AND(OR(ISNUMBER(SEARCH("Varadero",C432)),ISNUMBER(SEARCH("Cayo Coco",C432)),ISNUMBER(SEARCH("Cayo Santa María",C432)),ISNUMBER(SEARCH("Cayo Santa Maria",C432)),ISNUMBER(SEARCH("Cayo Guillermo",C432)),ISNUMBER(SEARCH("Cayo Las Brujas",C432)),ISNUMBER(SEARCH("Cayo Ensenachos",C432)),ISNUMBER(SEARCH("Holguín",C432)),ISNUMBER(SEARCH("Holguin",C432)),ISNUMBER(SEARCH("Havana",C432)),ISNUMBER(SEARCH("Old Havana",C432)),ISNUMBER(SEARCH("Vedado",C432)),ISNUMBER(SEARCH("Miramar",C432))),NOT(ISNUMBER(SEARCH("historical",F432)))),"P432",IF(OR(ISNUMBER(SEARCH("historical",F432)),H432="Low",ISNUMBER(SEARCH("to verify",F432)),ISNUMBER(SEARCH("requires verification",F432))),"Backlog","P433")))))</f>
        <v/>
      </c>
    </row>
    <row r="433" ht="15.75" customHeight="1">
      <c r="H433" s="13"/>
      <c r="L433" s="13" t="str">
        <f>IF(A433="","",IF(OR(COUNTIF('Priority Rules'!$A$2:$A$24,A433)&gt;0,COUNTIF('Priority Rules'!$B$2:$B$8,B433)&gt;0),"P432",IF(COUNTIF('Priority Rules'!$C$2:$C$9,A433)&gt;0,"P433",IF(AND(OR(ISNUMBER(SEARCH("Varadero",C433)),ISNUMBER(SEARCH("Cayo Coco",C433)),ISNUMBER(SEARCH("Cayo Santa María",C433)),ISNUMBER(SEARCH("Cayo Santa Maria",C433)),ISNUMBER(SEARCH("Cayo Guillermo",C433)),ISNUMBER(SEARCH("Cayo Las Brujas",C433)),ISNUMBER(SEARCH("Cayo Ensenachos",C433)),ISNUMBER(SEARCH("Holguín",C433)),ISNUMBER(SEARCH("Holguin",C433)),ISNUMBER(SEARCH("Havana",C433)),ISNUMBER(SEARCH("Old Havana",C433)),ISNUMBER(SEARCH("Vedado",C433)),ISNUMBER(SEARCH("Miramar",C433))),NOT(ISNUMBER(SEARCH("historical",F433)))),"P433",IF(OR(ISNUMBER(SEARCH("historical",F433)),H433="Low",ISNUMBER(SEARCH("to verify",F433)),ISNUMBER(SEARCH("requires verification",F433))),"Backlog","P434")))))</f>
        <v/>
      </c>
    </row>
    <row r="434" ht="15.75" customHeight="1">
      <c r="H434" s="13"/>
      <c r="L434" s="13" t="str">
        <f>IF(A434="","",IF(OR(COUNTIF('Priority Rules'!$A$2:$A$24,A434)&gt;0,COUNTIF('Priority Rules'!$B$2:$B$8,B434)&gt;0),"P433",IF(COUNTIF('Priority Rules'!$C$2:$C$9,A434)&gt;0,"P434",IF(AND(OR(ISNUMBER(SEARCH("Varadero",C434)),ISNUMBER(SEARCH("Cayo Coco",C434)),ISNUMBER(SEARCH("Cayo Santa María",C434)),ISNUMBER(SEARCH("Cayo Santa Maria",C434)),ISNUMBER(SEARCH("Cayo Guillermo",C434)),ISNUMBER(SEARCH("Cayo Las Brujas",C434)),ISNUMBER(SEARCH("Cayo Ensenachos",C434)),ISNUMBER(SEARCH("Holguín",C434)),ISNUMBER(SEARCH("Holguin",C434)),ISNUMBER(SEARCH("Havana",C434)),ISNUMBER(SEARCH("Old Havana",C434)),ISNUMBER(SEARCH("Vedado",C434)),ISNUMBER(SEARCH("Miramar",C434))),NOT(ISNUMBER(SEARCH("historical",F434)))),"P434",IF(OR(ISNUMBER(SEARCH("historical",F434)),H434="Low",ISNUMBER(SEARCH("to verify",F434)),ISNUMBER(SEARCH("requires verification",F434))),"Backlog","P435")))))</f>
        <v/>
      </c>
    </row>
    <row r="435" ht="15.75" customHeight="1">
      <c r="H435" s="13"/>
      <c r="L435" s="13" t="str">
        <f>IF(A435="","",IF(OR(COUNTIF('Priority Rules'!$A$2:$A$24,A435)&gt;0,COUNTIF('Priority Rules'!$B$2:$B$8,B435)&gt;0),"P434",IF(COUNTIF('Priority Rules'!$C$2:$C$9,A435)&gt;0,"P435",IF(AND(OR(ISNUMBER(SEARCH("Varadero",C435)),ISNUMBER(SEARCH("Cayo Coco",C435)),ISNUMBER(SEARCH("Cayo Santa María",C435)),ISNUMBER(SEARCH("Cayo Santa Maria",C435)),ISNUMBER(SEARCH("Cayo Guillermo",C435)),ISNUMBER(SEARCH("Cayo Las Brujas",C435)),ISNUMBER(SEARCH("Cayo Ensenachos",C435)),ISNUMBER(SEARCH("Holguín",C435)),ISNUMBER(SEARCH("Holguin",C435)),ISNUMBER(SEARCH("Havana",C435)),ISNUMBER(SEARCH("Old Havana",C435)),ISNUMBER(SEARCH("Vedado",C435)),ISNUMBER(SEARCH("Miramar",C435))),NOT(ISNUMBER(SEARCH("historical",F435)))),"P435",IF(OR(ISNUMBER(SEARCH("historical",F435)),H435="Low",ISNUMBER(SEARCH("to verify",F435)),ISNUMBER(SEARCH("requires verification",F435))),"Backlog","P436")))))</f>
        <v/>
      </c>
    </row>
    <row r="436" ht="15.75" customHeight="1">
      <c r="H436" s="13"/>
      <c r="L436" s="13" t="str">
        <f>IF(A436="","",IF(OR(COUNTIF('Priority Rules'!$A$2:$A$24,A436)&gt;0,COUNTIF('Priority Rules'!$B$2:$B$8,B436)&gt;0),"P435",IF(COUNTIF('Priority Rules'!$C$2:$C$9,A436)&gt;0,"P436",IF(AND(OR(ISNUMBER(SEARCH("Varadero",C436)),ISNUMBER(SEARCH("Cayo Coco",C436)),ISNUMBER(SEARCH("Cayo Santa María",C436)),ISNUMBER(SEARCH("Cayo Santa Maria",C436)),ISNUMBER(SEARCH("Cayo Guillermo",C436)),ISNUMBER(SEARCH("Cayo Las Brujas",C436)),ISNUMBER(SEARCH("Cayo Ensenachos",C436)),ISNUMBER(SEARCH("Holguín",C436)),ISNUMBER(SEARCH("Holguin",C436)),ISNUMBER(SEARCH("Havana",C436)),ISNUMBER(SEARCH("Old Havana",C436)),ISNUMBER(SEARCH("Vedado",C436)),ISNUMBER(SEARCH("Miramar",C436))),NOT(ISNUMBER(SEARCH("historical",F436)))),"P436",IF(OR(ISNUMBER(SEARCH("historical",F436)),H436="Low",ISNUMBER(SEARCH("to verify",F436)),ISNUMBER(SEARCH("requires verification",F436))),"Backlog","P437")))))</f>
        <v/>
      </c>
    </row>
    <row r="437" ht="15.75" customHeight="1">
      <c r="H437" s="13"/>
      <c r="L437" s="13" t="str">
        <f>IF(A437="","",IF(OR(COUNTIF('Priority Rules'!$A$2:$A$24,A437)&gt;0,COUNTIF('Priority Rules'!$B$2:$B$8,B437)&gt;0),"P436",IF(COUNTIF('Priority Rules'!$C$2:$C$9,A437)&gt;0,"P437",IF(AND(OR(ISNUMBER(SEARCH("Varadero",C437)),ISNUMBER(SEARCH("Cayo Coco",C437)),ISNUMBER(SEARCH("Cayo Santa María",C437)),ISNUMBER(SEARCH("Cayo Santa Maria",C437)),ISNUMBER(SEARCH("Cayo Guillermo",C437)),ISNUMBER(SEARCH("Cayo Las Brujas",C437)),ISNUMBER(SEARCH("Cayo Ensenachos",C437)),ISNUMBER(SEARCH("Holguín",C437)),ISNUMBER(SEARCH("Holguin",C437)),ISNUMBER(SEARCH("Havana",C437)),ISNUMBER(SEARCH("Old Havana",C437)),ISNUMBER(SEARCH("Vedado",C437)),ISNUMBER(SEARCH("Miramar",C437))),NOT(ISNUMBER(SEARCH("historical",F437)))),"P437",IF(OR(ISNUMBER(SEARCH("historical",F437)),H437="Low",ISNUMBER(SEARCH("to verify",F437)),ISNUMBER(SEARCH("requires verification",F437))),"Backlog","P438")))))</f>
        <v/>
      </c>
    </row>
    <row r="438" ht="15.75" customHeight="1">
      <c r="H438" s="13"/>
      <c r="L438" s="13" t="str">
        <f>IF(A438="","",IF(OR(COUNTIF('Priority Rules'!$A$2:$A$24,A438)&gt;0,COUNTIF('Priority Rules'!$B$2:$B$8,B438)&gt;0),"P437",IF(COUNTIF('Priority Rules'!$C$2:$C$9,A438)&gt;0,"P438",IF(AND(OR(ISNUMBER(SEARCH("Varadero",C438)),ISNUMBER(SEARCH("Cayo Coco",C438)),ISNUMBER(SEARCH("Cayo Santa María",C438)),ISNUMBER(SEARCH("Cayo Santa Maria",C438)),ISNUMBER(SEARCH("Cayo Guillermo",C438)),ISNUMBER(SEARCH("Cayo Las Brujas",C438)),ISNUMBER(SEARCH("Cayo Ensenachos",C438)),ISNUMBER(SEARCH("Holguín",C438)),ISNUMBER(SEARCH("Holguin",C438)),ISNUMBER(SEARCH("Havana",C438)),ISNUMBER(SEARCH("Old Havana",C438)),ISNUMBER(SEARCH("Vedado",C438)),ISNUMBER(SEARCH("Miramar",C438))),NOT(ISNUMBER(SEARCH("historical",F438)))),"P438",IF(OR(ISNUMBER(SEARCH("historical",F438)),H438="Low",ISNUMBER(SEARCH("to verify",F438)),ISNUMBER(SEARCH("requires verification",F438))),"Backlog","P439")))))</f>
        <v/>
      </c>
    </row>
    <row r="439" ht="15.75" customHeight="1">
      <c r="H439" s="13"/>
      <c r="L439" s="13" t="str">
        <f>IF(A439="","",IF(OR(COUNTIF('Priority Rules'!$A$2:$A$24,A439)&gt;0,COUNTIF('Priority Rules'!$B$2:$B$8,B439)&gt;0),"P438",IF(COUNTIF('Priority Rules'!$C$2:$C$9,A439)&gt;0,"P439",IF(AND(OR(ISNUMBER(SEARCH("Varadero",C439)),ISNUMBER(SEARCH("Cayo Coco",C439)),ISNUMBER(SEARCH("Cayo Santa María",C439)),ISNUMBER(SEARCH("Cayo Santa Maria",C439)),ISNUMBER(SEARCH("Cayo Guillermo",C439)),ISNUMBER(SEARCH("Cayo Las Brujas",C439)),ISNUMBER(SEARCH("Cayo Ensenachos",C439)),ISNUMBER(SEARCH("Holguín",C439)),ISNUMBER(SEARCH("Holguin",C439)),ISNUMBER(SEARCH("Havana",C439)),ISNUMBER(SEARCH("Old Havana",C439)),ISNUMBER(SEARCH("Vedado",C439)),ISNUMBER(SEARCH("Miramar",C439))),NOT(ISNUMBER(SEARCH("historical",F439)))),"P439",IF(OR(ISNUMBER(SEARCH("historical",F439)),H439="Low",ISNUMBER(SEARCH("to verify",F439)),ISNUMBER(SEARCH("requires verification",F439))),"Backlog","P440")))))</f>
        <v/>
      </c>
    </row>
    <row r="440" ht="15.75" customHeight="1">
      <c r="H440" s="13"/>
      <c r="L440" s="13" t="str">
        <f>IF(A440="","",IF(OR(COUNTIF('Priority Rules'!$A$2:$A$24,A440)&gt;0,COUNTIF('Priority Rules'!$B$2:$B$8,B440)&gt;0),"P439",IF(COUNTIF('Priority Rules'!$C$2:$C$9,A440)&gt;0,"P440",IF(AND(OR(ISNUMBER(SEARCH("Varadero",C440)),ISNUMBER(SEARCH("Cayo Coco",C440)),ISNUMBER(SEARCH("Cayo Santa María",C440)),ISNUMBER(SEARCH("Cayo Santa Maria",C440)),ISNUMBER(SEARCH("Cayo Guillermo",C440)),ISNUMBER(SEARCH("Cayo Las Brujas",C440)),ISNUMBER(SEARCH("Cayo Ensenachos",C440)),ISNUMBER(SEARCH("Holguín",C440)),ISNUMBER(SEARCH("Holguin",C440)),ISNUMBER(SEARCH("Havana",C440)),ISNUMBER(SEARCH("Old Havana",C440)),ISNUMBER(SEARCH("Vedado",C440)),ISNUMBER(SEARCH("Miramar",C440))),NOT(ISNUMBER(SEARCH("historical",F440)))),"P440",IF(OR(ISNUMBER(SEARCH("historical",F440)),H440="Low",ISNUMBER(SEARCH("to verify",F440)),ISNUMBER(SEARCH("requires verification",F440))),"Backlog","P441")))))</f>
        <v/>
      </c>
    </row>
    <row r="441" ht="15.75" customHeight="1">
      <c r="H441" s="13"/>
      <c r="L441" s="13" t="str">
        <f>IF(A441="","",IF(OR(COUNTIF('Priority Rules'!$A$2:$A$24,A441)&gt;0,COUNTIF('Priority Rules'!$B$2:$B$8,B441)&gt;0),"P440",IF(COUNTIF('Priority Rules'!$C$2:$C$9,A441)&gt;0,"P441",IF(AND(OR(ISNUMBER(SEARCH("Varadero",C441)),ISNUMBER(SEARCH("Cayo Coco",C441)),ISNUMBER(SEARCH("Cayo Santa María",C441)),ISNUMBER(SEARCH("Cayo Santa Maria",C441)),ISNUMBER(SEARCH("Cayo Guillermo",C441)),ISNUMBER(SEARCH("Cayo Las Brujas",C441)),ISNUMBER(SEARCH("Cayo Ensenachos",C441)),ISNUMBER(SEARCH("Holguín",C441)),ISNUMBER(SEARCH("Holguin",C441)),ISNUMBER(SEARCH("Havana",C441)),ISNUMBER(SEARCH("Old Havana",C441)),ISNUMBER(SEARCH("Vedado",C441)),ISNUMBER(SEARCH("Miramar",C441))),NOT(ISNUMBER(SEARCH("historical",F441)))),"P441",IF(OR(ISNUMBER(SEARCH("historical",F441)),H441="Low",ISNUMBER(SEARCH("to verify",F441)),ISNUMBER(SEARCH("requires verification",F441))),"Backlog","P442")))))</f>
        <v/>
      </c>
    </row>
    <row r="442" ht="15.75" customHeight="1">
      <c r="H442" s="13"/>
      <c r="L442" s="13" t="str">
        <f>IF(A442="","",IF(OR(COUNTIF('Priority Rules'!$A$2:$A$24,A442)&gt;0,COUNTIF('Priority Rules'!$B$2:$B$8,B442)&gt;0),"P441",IF(COUNTIF('Priority Rules'!$C$2:$C$9,A442)&gt;0,"P442",IF(AND(OR(ISNUMBER(SEARCH("Varadero",C442)),ISNUMBER(SEARCH("Cayo Coco",C442)),ISNUMBER(SEARCH("Cayo Santa María",C442)),ISNUMBER(SEARCH("Cayo Santa Maria",C442)),ISNUMBER(SEARCH("Cayo Guillermo",C442)),ISNUMBER(SEARCH("Cayo Las Brujas",C442)),ISNUMBER(SEARCH("Cayo Ensenachos",C442)),ISNUMBER(SEARCH("Holguín",C442)),ISNUMBER(SEARCH("Holguin",C442)),ISNUMBER(SEARCH("Havana",C442)),ISNUMBER(SEARCH("Old Havana",C442)),ISNUMBER(SEARCH("Vedado",C442)),ISNUMBER(SEARCH("Miramar",C442))),NOT(ISNUMBER(SEARCH("historical",F442)))),"P442",IF(OR(ISNUMBER(SEARCH("historical",F442)),H442="Low",ISNUMBER(SEARCH("to verify",F442)),ISNUMBER(SEARCH("requires verification",F442))),"Backlog","P443")))))</f>
        <v/>
      </c>
    </row>
    <row r="443" ht="15.75" customHeight="1">
      <c r="H443" s="13"/>
      <c r="L443" s="13" t="str">
        <f>IF(A443="","",IF(OR(COUNTIF('Priority Rules'!$A$2:$A$24,A443)&gt;0,COUNTIF('Priority Rules'!$B$2:$B$8,B443)&gt;0),"P442",IF(COUNTIF('Priority Rules'!$C$2:$C$9,A443)&gt;0,"P443",IF(AND(OR(ISNUMBER(SEARCH("Varadero",C443)),ISNUMBER(SEARCH("Cayo Coco",C443)),ISNUMBER(SEARCH("Cayo Santa María",C443)),ISNUMBER(SEARCH("Cayo Santa Maria",C443)),ISNUMBER(SEARCH("Cayo Guillermo",C443)),ISNUMBER(SEARCH("Cayo Las Brujas",C443)),ISNUMBER(SEARCH("Cayo Ensenachos",C443)),ISNUMBER(SEARCH("Holguín",C443)),ISNUMBER(SEARCH("Holguin",C443)),ISNUMBER(SEARCH("Havana",C443)),ISNUMBER(SEARCH("Old Havana",C443)),ISNUMBER(SEARCH("Vedado",C443)),ISNUMBER(SEARCH("Miramar",C443))),NOT(ISNUMBER(SEARCH("historical",F443)))),"P443",IF(OR(ISNUMBER(SEARCH("historical",F443)),H443="Low",ISNUMBER(SEARCH("to verify",F443)),ISNUMBER(SEARCH("requires verification",F443))),"Backlog","P444")))))</f>
        <v/>
      </c>
    </row>
    <row r="444" ht="15.75" customHeight="1">
      <c r="H444" s="13"/>
      <c r="L444" s="13" t="str">
        <f>IF(A444="","",IF(OR(COUNTIF('Priority Rules'!$A$2:$A$24,A444)&gt;0,COUNTIF('Priority Rules'!$B$2:$B$8,B444)&gt;0),"P443",IF(COUNTIF('Priority Rules'!$C$2:$C$9,A444)&gt;0,"P444",IF(AND(OR(ISNUMBER(SEARCH("Varadero",C444)),ISNUMBER(SEARCH("Cayo Coco",C444)),ISNUMBER(SEARCH("Cayo Santa María",C444)),ISNUMBER(SEARCH("Cayo Santa Maria",C444)),ISNUMBER(SEARCH("Cayo Guillermo",C444)),ISNUMBER(SEARCH("Cayo Las Brujas",C444)),ISNUMBER(SEARCH("Cayo Ensenachos",C444)),ISNUMBER(SEARCH("Holguín",C444)),ISNUMBER(SEARCH("Holguin",C444)),ISNUMBER(SEARCH("Havana",C444)),ISNUMBER(SEARCH("Old Havana",C444)),ISNUMBER(SEARCH("Vedado",C444)),ISNUMBER(SEARCH("Miramar",C444))),NOT(ISNUMBER(SEARCH("historical",F444)))),"P444",IF(OR(ISNUMBER(SEARCH("historical",F444)),H444="Low",ISNUMBER(SEARCH("to verify",F444)),ISNUMBER(SEARCH("requires verification",F444))),"Backlog","P445")))))</f>
        <v/>
      </c>
    </row>
    <row r="445" ht="15.75" customHeight="1">
      <c r="H445" s="13"/>
      <c r="L445" s="13" t="str">
        <f>IF(A445="","",IF(OR(COUNTIF('Priority Rules'!$A$2:$A$24,A445)&gt;0,COUNTIF('Priority Rules'!$B$2:$B$8,B445)&gt;0),"P444",IF(COUNTIF('Priority Rules'!$C$2:$C$9,A445)&gt;0,"P445",IF(AND(OR(ISNUMBER(SEARCH("Varadero",C445)),ISNUMBER(SEARCH("Cayo Coco",C445)),ISNUMBER(SEARCH("Cayo Santa María",C445)),ISNUMBER(SEARCH("Cayo Santa Maria",C445)),ISNUMBER(SEARCH("Cayo Guillermo",C445)),ISNUMBER(SEARCH("Cayo Las Brujas",C445)),ISNUMBER(SEARCH("Cayo Ensenachos",C445)),ISNUMBER(SEARCH("Holguín",C445)),ISNUMBER(SEARCH("Holguin",C445)),ISNUMBER(SEARCH("Havana",C445)),ISNUMBER(SEARCH("Old Havana",C445)),ISNUMBER(SEARCH("Vedado",C445)),ISNUMBER(SEARCH("Miramar",C445))),NOT(ISNUMBER(SEARCH("historical",F445)))),"P445",IF(OR(ISNUMBER(SEARCH("historical",F445)),H445="Low",ISNUMBER(SEARCH("to verify",F445)),ISNUMBER(SEARCH("requires verification",F445))),"Backlog","P446")))))</f>
        <v/>
      </c>
    </row>
    <row r="446" ht="15.75" customHeight="1">
      <c r="H446" s="13"/>
      <c r="L446" s="13" t="str">
        <f>IF(A446="","",IF(OR(COUNTIF('Priority Rules'!$A$2:$A$24,A446)&gt;0,COUNTIF('Priority Rules'!$B$2:$B$8,B446)&gt;0),"P445",IF(COUNTIF('Priority Rules'!$C$2:$C$9,A446)&gt;0,"P446",IF(AND(OR(ISNUMBER(SEARCH("Varadero",C446)),ISNUMBER(SEARCH("Cayo Coco",C446)),ISNUMBER(SEARCH("Cayo Santa María",C446)),ISNUMBER(SEARCH("Cayo Santa Maria",C446)),ISNUMBER(SEARCH("Cayo Guillermo",C446)),ISNUMBER(SEARCH("Cayo Las Brujas",C446)),ISNUMBER(SEARCH("Cayo Ensenachos",C446)),ISNUMBER(SEARCH("Holguín",C446)),ISNUMBER(SEARCH("Holguin",C446)),ISNUMBER(SEARCH("Havana",C446)),ISNUMBER(SEARCH("Old Havana",C446)),ISNUMBER(SEARCH("Vedado",C446)),ISNUMBER(SEARCH("Miramar",C446))),NOT(ISNUMBER(SEARCH("historical",F446)))),"P446",IF(OR(ISNUMBER(SEARCH("historical",F446)),H446="Low",ISNUMBER(SEARCH("to verify",F446)),ISNUMBER(SEARCH("requires verification",F446))),"Backlog","P447")))))</f>
        <v/>
      </c>
    </row>
    <row r="447" ht="15.75" customHeight="1">
      <c r="H447" s="13"/>
      <c r="L447" s="13" t="str">
        <f>IF(A447="","",IF(OR(COUNTIF('Priority Rules'!$A$2:$A$24,A447)&gt;0,COUNTIF('Priority Rules'!$B$2:$B$8,B447)&gt;0),"P446",IF(COUNTIF('Priority Rules'!$C$2:$C$9,A447)&gt;0,"P447",IF(AND(OR(ISNUMBER(SEARCH("Varadero",C447)),ISNUMBER(SEARCH("Cayo Coco",C447)),ISNUMBER(SEARCH("Cayo Santa María",C447)),ISNUMBER(SEARCH("Cayo Santa Maria",C447)),ISNUMBER(SEARCH("Cayo Guillermo",C447)),ISNUMBER(SEARCH("Cayo Las Brujas",C447)),ISNUMBER(SEARCH("Cayo Ensenachos",C447)),ISNUMBER(SEARCH("Holguín",C447)),ISNUMBER(SEARCH("Holguin",C447)),ISNUMBER(SEARCH("Havana",C447)),ISNUMBER(SEARCH("Old Havana",C447)),ISNUMBER(SEARCH("Vedado",C447)),ISNUMBER(SEARCH("Miramar",C447))),NOT(ISNUMBER(SEARCH("historical",F447)))),"P447",IF(OR(ISNUMBER(SEARCH("historical",F447)),H447="Low",ISNUMBER(SEARCH("to verify",F447)),ISNUMBER(SEARCH("requires verification",F447))),"Backlog","P448")))))</f>
        <v/>
      </c>
    </row>
    <row r="448" ht="15.75" customHeight="1">
      <c r="H448" s="13"/>
      <c r="L448" s="13" t="str">
        <f>IF(A448="","",IF(OR(COUNTIF('Priority Rules'!$A$2:$A$24,A448)&gt;0,COUNTIF('Priority Rules'!$B$2:$B$8,B448)&gt;0),"P447",IF(COUNTIF('Priority Rules'!$C$2:$C$9,A448)&gt;0,"P448",IF(AND(OR(ISNUMBER(SEARCH("Varadero",C448)),ISNUMBER(SEARCH("Cayo Coco",C448)),ISNUMBER(SEARCH("Cayo Santa María",C448)),ISNUMBER(SEARCH("Cayo Santa Maria",C448)),ISNUMBER(SEARCH("Cayo Guillermo",C448)),ISNUMBER(SEARCH("Cayo Las Brujas",C448)),ISNUMBER(SEARCH("Cayo Ensenachos",C448)),ISNUMBER(SEARCH("Holguín",C448)),ISNUMBER(SEARCH("Holguin",C448)),ISNUMBER(SEARCH("Havana",C448)),ISNUMBER(SEARCH("Old Havana",C448)),ISNUMBER(SEARCH("Vedado",C448)),ISNUMBER(SEARCH("Miramar",C448))),NOT(ISNUMBER(SEARCH("historical",F448)))),"P448",IF(OR(ISNUMBER(SEARCH("historical",F448)),H448="Low",ISNUMBER(SEARCH("to verify",F448)),ISNUMBER(SEARCH("requires verification",F448))),"Backlog","P449")))))</f>
        <v/>
      </c>
    </row>
    <row r="449" ht="15.75" customHeight="1">
      <c r="H449" s="13"/>
      <c r="L449" s="13" t="str">
        <f>IF(A449="","",IF(OR(COUNTIF('Priority Rules'!$A$2:$A$24,A449)&gt;0,COUNTIF('Priority Rules'!$B$2:$B$8,B449)&gt;0),"P448",IF(COUNTIF('Priority Rules'!$C$2:$C$9,A449)&gt;0,"P449",IF(AND(OR(ISNUMBER(SEARCH("Varadero",C449)),ISNUMBER(SEARCH("Cayo Coco",C449)),ISNUMBER(SEARCH("Cayo Santa María",C449)),ISNUMBER(SEARCH("Cayo Santa Maria",C449)),ISNUMBER(SEARCH("Cayo Guillermo",C449)),ISNUMBER(SEARCH("Cayo Las Brujas",C449)),ISNUMBER(SEARCH("Cayo Ensenachos",C449)),ISNUMBER(SEARCH("Holguín",C449)),ISNUMBER(SEARCH("Holguin",C449)),ISNUMBER(SEARCH("Havana",C449)),ISNUMBER(SEARCH("Old Havana",C449)),ISNUMBER(SEARCH("Vedado",C449)),ISNUMBER(SEARCH("Miramar",C449))),NOT(ISNUMBER(SEARCH("historical",F449)))),"P449",IF(OR(ISNUMBER(SEARCH("historical",F449)),H449="Low",ISNUMBER(SEARCH("to verify",F449)),ISNUMBER(SEARCH("requires verification",F449))),"Backlog","P450")))))</f>
        <v/>
      </c>
    </row>
    <row r="450" ht="15.75" customHeight="1">
      <c r="H450" s="13"/>
      <c r="L450" s="13" t="str">
        <f>IF(A450="","",IF(OR(COUNTIF('Priority Rules'!$A$2:$A$24,A450)&gt;0,COUNTIF('Priority Rules'!$B$2:$B$8,B450)&gt;0),"P449",IF(COUNTIF('Priority Rules'!$C$2:$C$9,A450)&gt;0,"P450",IF(AND(OR(ISNUMBER(SEARCH("Varadero",C450)),ISNUMBER(SEARCH("Cayo Coco",C450)),ISNUMBER(SEARCH("Cayo Santa María",C450)),ISNUMBER(SEARCH("Cayo Santa Maria",C450)),ISNUMBER(SEARCH("Cayo Guillermo",C450)),ISNUMBER(SEARCH("Cayo Las Brujas",C450)),ISNUMBER(SEARCH("Cayo Ensenachos",C450)),ISNUMBER(SEARCH("Holguín",C450)),ISNUMBER(SEARCH("Holguin",C450)),ISNUMBER(SEARCH("Havana",C450)),ISNUMBER(SEARCH("Old Havana",C450)),ISNUMBER(SEARCH("Vedado",C450)),ISNUMBER(SEARCH("Miramar",C450))),NOT(ISNUMBER(SEARCH("historical",F450)))),"P450",IF(OR(ISNUMBER(SEARCH("historical",F450)),H450="Low",ISNUMBER(SEARCH("to verify",F450)),ISNUMBER(SEARCH("requires verification",F450))),"Backlog","P451")))))</f>
        <v/>
      </c>
    </row>
    <row r="451" ht="15.75" customHeight="1">
      <c r="H451" s="13"/>
      <c r="L451" s="13" t="str">
        <f>IF(A451="","",IF(OR(COUNTIF('Priority Rules'!$A$2:$A$24,A451)&gt;0,COUNTIF('Priority Rules'!$B$2:$B$8,B451)&gt;0),"P450",IF(COUNTIF('Priority Rules'!$C$2:$C$9,A451)&gt;0,"P451",IF(AND(OR(ISNUMBER(SEARCH("Varadero",C451)),ISNUMBER(SEARCH("Cayo Coco",C451)),ISNUMBER(SEARCH("Cayo Santa María",C451)),ISNUMBER(SEARCH("Cayo Santa Maria",C451)),ISNUMBER(SEARCH("Cayo Guillermo",C451)),ISNUMBER(SEARCH("Cayo Las Brujas",C451)),ISNUMBER(SEARCH("Cayo Ensenachos",C451)),ISNUMBER(SEARCH("Holguín",C451)),ISNUMBER(SEARCH("Holguin",C451)),ISNUMBER(SEARCH("Havana",C451)),ISNUMBER(SEARCH("Old Havana",C451)),ISNUMBER(SEARCH("Vedado",C451)),ISNUMBER(SEARCH("Miramar",C451))),NOT(ISNUMBER(SEARCH("historical",F451)))),"P451",IF(OR(ISNUMBER(SEARCH("historical",F451)),H451="Low",ISNUMBER(SEARCH("to verify",F451)),ISNUMBER(SEARCH("requires verification",F451))),"Backlog","P452")))))</f>
        <v/>
      </c>
    </row>
    <row r="452" ht="15.75" customHeight="1">
      <c r="H452" s="13"/>
      <c r="L452" s="13" t="str">
        <f>IF(A452="","",IF(OR(COUNTIF('Priority Rules'!$A$2:$A$24,A452)&gt;0,COUNTIF('Priority Rules'!$B$2:$B$8,B452)&gt;0),"P451",IF(COUNTIF('Priority Rules'!$C$2:$C$9,A452)&gt;0,"P452",IF(AND(OR(ISNUMBER(SEARCH("Varadero",C452)),ISNUMBER(SEARCH("Cayo Coco",C452)),ISNUMBER(SEARCH("Cayo Santa María",C452)),ISNUMBER(SEARCH("Cayo Santa Maria",C452)),ISNUMBER(SEARCH("Cayo Guillermo",C452)),ISNUMBER(SEARCH("Cayo Las Brujas",C452)),ISNUMBER(SEARCH("Cayo Ensenachos",C452)),ISNUMBER(SEARCH("Holguín",C452)),ISNUMBER(SEARCH("Holguin",C452)),ISNUMBER(SEARCH("Havana",C452)),ISNUMBER(SEARCH("Old Havana",C452)),ISNUMBER(SEARCH("Vedado",C452)),ISNUMBER(SEARCH("Miramar",C452))),NOT(ISNUMBER(SEARCH("historical",F452)))),"P452",IF(OR(ISNUMBER(SEARCH("historical",F452)),H452="Low",ISNUMBER(SEARCH("to verify",F452)),ISNUMBER(SEARCH("requires verification",F452))),"Backlog","P453")))))</f>
        <v/>
      </c>
    </row>
    <row r="453" ht="15.75" customHeight="1">
      <c r="H453" s="13"/>
      <c r="L453" s="13" t="str">
        <f>IF(A453="","",IF(OR(COUNTIF('Priority Rules'!$A$2:$A$24,A453)&gt;0,COUNTIF('Priority Rules'!$B$2:$B$8,B453)&gt;0),"P452",IF(COUNTIF('Priority Rules'!$C$2:$C$9,A453)&gt;0,"P453",IF(AND(OR(ISNUMBER(SEARCH("Varadero",C453)),ISNUMBER(SEARCH("Cayo Coco",C453)),ISNUMBER(SEARCH("Cayo Santa María",C453)),ISNUMBER(SEARCH("Cayo Santa Maria",C453)),ISNUMBER(SEARCH("Cayo Guillermo",C453)),ISNUMBER(SEARCH("Cayo Las Brujas",C453)),ISNUMBER(SEARCH("Cayo Ensenachos",C453)),ISNUMBER(SEARCH("Holguín",C453)),ISNUMBER(SEARCH("Holguin",C453)),ISNUMBER(SEARCH("Havana",C453)),ISNUMBER(SEARCH("Old Havana",C453)),ISNUMBER(SEARCH("Vedado",C453)),ISNUMBER(SEARCH("Miramar",C453))),NOT(ISNUMBER(SEARCH("historical",F453)))),"P453",IF(OR(ISNUMBER(SEARCH("historical",F453)),H453="Low",ISNUMBER(SEARCH("to verify",F453)),ISNUMBER(SEARCH("requires verification",F453))),"Backlog","P454")))))</f>
        <v/>
      </c>
    </row>
    <row r="454" ht="15.75" customHeight="1">
      <c r="H454" s="13"/>
      <c r="L454" s="13" t="str">
        <f>IF(A454="","",IF(OR(COUNTIF('Priority Rules'!$A$2:$A$24,A454)&gt;0,COUNTIF('Priority Rules'!$B$2:$B$8,B454)&gt;0),"P453",IF(COUNTIF('Priority Rules'!$C$2:$C$9,A454)&gt;0,"P454",IF(AND(OR(ISNUMBER(SEARCH("Varadero",C454)),ISNUMBER(SEARCH("Cayo Coco",C454)),ISNUMBER(SEARCH("Cayo Santa María",C454)),ISNUMBER(SEARCH("Cayo Santa Maria",C454)),ISNUMBER(SEARCH("Cayo Guillermo",C454)),ISNUMBER(SEARCH("Cayo Las Brujas",C454)),ISNUMBER(SEARCH("Cayo Ensenachos",C454)),ISNUMBER(SEARCH("Holguín",C454)),ISNUMBER(SEARCH("Holguin",C454)),ISNUMBER(SEARCH("Havana",C454)),ISNUMBER(SEARCH("Old Havana",C454)),ISNUMBER(SEARCH("Vedado",C454)),ISNUMBER(SEARCH("Miramar",C454))),NOT(ISNUMBER(SEARCH("historical",F454)))),"P454",IF(OR(ISNUMBER(SEARCH("historical",F454)),H454="Low",ISNUMBER(SEARCH("to verify",F454)),ISNUMBER(SEARCH("requires verification",F454))),"Backlog","P455")))))</f>
        <v/>
      </c>
    </row>
    <row r="455" ht="15.75" customHeight="1">
      <c r="H455" s="13"/>
      <c r="L455" s="13" t="str">
        <f>IF(A455="","",IF(OR(COUNTIF('Priority Rules'!$A$2:$A$24,A455)&gt;0,COUNTIF('Priority Rules'!$B$2:$B$8,B455)&gt;0),"P454",IF(COUNTIF('Priority Rules'!$C$2:$C$9,A455)&gt;0,"P455",IF(AND(OR(ISNUMBER(SEARCH("Varadero",C455)),ISNUMBER(SEARCH("Cayo Coco",C455)),ISNUMBER(SEARCH("Cayo Santa María",C455)),ISNUMBER(SEARCH("Cayo Santa Maria",C455)),ISNUMBER(SEARCH("Cayo Guillermo",C455)),ISNUMBER(SEARCH("Cayo Las Brujas",C455)),ISNUMBER(SEARCH("Cayo Ensenachos",C455)),ISNUMBER(SEARCH("Holguín",C455)),ISNUMBER(SEARCH("Holguin",C455)),ISNUMBER(SEARCH("Havana",C455)),ISNUMBER(SEARCH("Old Havana",C455)),ISNUMBER(SEARCH("Vedado",C455)),ISNUMBER(SEARCH("Miramar",C455))),NOT(ISNUMBER(SEARCH("historical",F455)))),"P455",IF(OR(ISNUMBER(SEARCH("historical",F455)),H455="Low",ISNUMBER(SEARCH("to verify",F455)),ISNUMBER(SEARCH("requires verification",F455))),"Backlog","P456")))))</f>
        <v/>
      </c>
    </row>
    <row r="456" ht="15.75" customHeight="1">
      <c r="H456" s="13"/>
      <c r="L456" s="13" t="str">
        <f>IF(A456="","",IF(OR(COUNTIF('Priority Rules'!$A$2:$A$24,A456)&gt;0,COUNTIF('Priority Rules'!$B$2:$B$8,B456)&gt;0),"P455",IF(COUNTIF('Priority Rules'!$C$2:$C$9,A456)&gt;0,"P456",IF(AND(OR(ISNUMBER(SEARCH("Varadero",C456)),ISNUMBER(SEARCH("Cayo Coco",C456)),ISNUMBER(SEARCH("Cayo Santa María",C456)),ISNUMBER(SEARCH("Cayo Santa Maria",C456)),ISNUMBER(SEARCH("Cayo Guillermo",C456)),ISNUMBER(SEARCH("Cayo Las Brujas",C456)),ISNUMBER(SEARCH("Cayo Ensenachos",C456)),ISNUMBER(SEARCH("Holguín",C456)),ISNUMBER(SEARCH("Holguin",C456)),ISNUMBER(SEARCH("Havana",C456)),ISNUMBER(SEARCH("Old Havana",C456)),ISNUMBER(SEARCH("Vedado",C456)),ISNUMBER(SEARCH("Miramar",C456))),NOT(ISNUMBER(SEARCH("historical",F456)))),"P456",IF(OR(ISNUMBER(SEARCH("historical",F456)),H456="Low",ISNUMBER(SEARCH("to verify",F456)),ISNUMBER(SEARCH("requires verification",F456))),"Backlog","P457")))))</f>
        <v/>
      </c>
    </row>
    <row r="457" ht="15.75" customHeight="1">
      <c r="H457" s="13"/>
      <c r="L457" s="13" t="str">
        <f>IF(A457="","",IF(OR(COUNTIF('Priority Rules'!$A$2:$A$24,A457)&gt;0,COUNTIF('Priority Rules'!$B$2:$B$8,B457)&gt;0),"P456",IF(COUNTIF('Priority Rules'!$C$2:$C$9,A457)&gt;0,"P457",IF(AND(OR(ISNUMBER(SEARCH("Varadero",C457)),ISNUMBER(SEARCH("Cayo Coco",C457)),ISNUMBER(SEARCH("Cayo Santa María",C457)),ISNUMBER(SEARCH("Cayo Santa Maria",C457)),ISNUMBER(SEARCH("Cayo Guillermo",C457)),ISNUMBER(SEARCH("Cayo Las Brujas",C457)),ISNUMBER(SEARCH("Cayo Ensenachos",C457)),ISNUMBER(SEARCH("Holguín",C457)),ISNUMBER(SEARCH("Holguin",C457)),ISNUMBER(SEARCH("Havana",C457)),ISNUMBER(SEARCH("Old Havana",C457)),ISNUMBER(SEARCH("Vedado",C457)),ISNUMBER(SEARCH("Miramar",C457))),NOT(ISNUMBER(SEARCH("historical",F457)))),"P457",IF(OR(ISNUMBER(SEARCH("historical",F457)),H457="Low",ISNUMBER(SEARCH("to verify",F457)),ISNUMBER(SEARCH("requires verification",F457))),"Backlog","P458")))))</f>
        <v/>
      </c>
    </row>
    <row r="458" ht="15.75" customHeight="1">
      <c r="H458" s="13"/>
      <c r="L458" s="13" t="str">
        <f>IF(A458="","",IF(OR(COUNTIF('Priority Rules'!$A$2:$A$24,A458)&gt;0,COUNTIF('Priority Rules'!$B$2:$B$8,B458)&gt;0),"P457",IF(COUNTIF('Priority Rules'!$C$2:$C$9,A458)&gt;0,"P458",IF(AND(OR(ISNUMBER(SEARCH("Varadero",C458)),ISNUMBER(SEARCH("Cayo Coco",C458)),ISNUMBER(SEARCH("Cayo Santa María",C458)),ISNUMBER(SEARCH("Cayo Santa Maria",C458)),ISNUMBER(SEARCH("Cayo Guillermo",C458)),ISNUMBER(SEARCH("Cayo Las Brujas",C458)),ISNUMBER(SEARCH("Cayo Ensenachos",C458)),ISNUMBER(SEARCH("Holguín",C458)),ISNUMBER(SEARCH("Holguin",C458)),ISNUMBER(SEARCH("Havana",C458)),ISNUMBER(SEARCH("Old Havana",C458)),ISNUMBER(SEARCH("Vedado",C458)),ISNUMBER(SEARCH("Miramar",C458))),NOT(ISNUMBER(SEARCH("historical",F458)))),"P458",IF(OR(ISNUMBER(SEARCH("historical",F458)),H458="Low",ISNUMBER(SEARCH("to verify",F458)),ISNUMBER(SEARCH("requires verification",F458))),"Backlog","P459")))))</f>
        <v/>
      </c>
    </row>
    <row r="459" ht="15.75" customHeight="1">
      <c r="H459" s="13"/>
      <c r="L459" s="13" t="str">
        <f>IF(A459="","",IF(OR(COUNTIF('Priority Rules'!$A$2:$A$24,A459)&gt;0,COUNTIF('Priority Rules'!$B$2:$B$8,B459)&gt;0),"P458",IF(COUNTIF('Priority Rules'!$C$2:$C$9,A459)&gt;0,"P459",IF(AND(OR(ISNUMBER(SEARCH("Varadero",C459)),ISNUMBER(SEARCH("Cayo Coco",C459)),ISNUMBER(SEARCH("Cayo Santa María",C459)),ISNUMBER(SEARCH("Cayo Santa Maria",C459)),ISNUMBER(SEARCH("Cayo Guillermo",C459)),ISNUMBER(SEARCH("Cayo Las Brujas",C459)),ISNUMBER(SEARCH("Cayo Ensenachos",C459)),ISNUMBER(SEARCH("Holguín",C459)),ISNUMBER(SEARCH("Holguin",C459)),ISNUMBER(SEARCH("Havana",C459)),ISNUMBER(SEARCH("Old Havana",C459)),ISNUMBER(SEARCH("Vedado",C459)),ISNUMBER(SEARCH("Miramar",C459))),NOT(ISNUMBER(SEARCH("historical",F459)))),"P459",IF(OR(ISNUMBER(SEARCH("historical",F459)),H459="Low",ISNUMBER(SEARCH("to verify",F459)),ISNUMBER(SEARCH("requires verification",F459))),"Backlog","P460")))))</f>
        <v/>
      </c>
    </row>
    <row r="460" ht="15.75" customHeight="1">
      <c r="H460" s="13"/>
      <c r="L460" s="13" t="str">
        <f>IF(A460="","",IF(OR(COUNTIF('Priority Rules'!$A$2:$A$24,A460)&gt;0,COUNTIF('Priority Rules'!$B$2:$B$8,B460)&gt;0),"P459",IF(COUNTIF('Priority Rules'!$C$2:$C$9,A460)&gt;0,"P460",IF(AND(OR(ISNUMBER(SEARCH("Varadero",C460)),ISNUMBER(SEARCH("Cayo Coco",C460)),ISNUMBER(SEARCH("Cayo Santa María",C460)),ISNUMBER(SEARCH("Cayo Santa Maria",C460)),ISNUMBER(SEARCH("Cayo Guillermo",C460)),ISNUMBER(SEARCH("Cayo Las Brujas",C460)),ISNUMBER(SEARCH("Cayo Ensenachos",C460)),ISNUMBER(SEARCH("Holguín",C460)),ISNUMBER(SEARCH("Holguin",C460)),ISNUMBER(SEARCH("Havana",C460)),ISNUMBER(SEARCH("Old Havana",C460)),ISNUMBER(SEARCH("Vedado",C460)),ISNUMBER(SEARCH("Miramar",C460))),NOT(ISNUMBER(SEARCH("historical",F460)))),"P460",IF(OR(ISNUMBER(SEARCH("historical",F460)),H460="Low",ISNUMBER(SEARCH("to verify",F460)),ISNUMBER(SEARCH("requires verification",F460))),"Backlog","P461")))))</f>
        <v/>
      </c>
    </row>
    <row r="461" ht="15.75" customHeight="1">
      <c r="H461" s="13"/>
      <c r="L461" s="13" t="str">
        <f>IF(A461="","",IF(OR(COUNTIF('Priority Rules'!$A$2:$A$24,A461)&gt;0,COUNTIF('Priority Rules'!$B$2:$B$8,B461)&gt;0),"P460",IF(COUNTIF('Priority Rules'!$C$2:$C$9,A461)&gt;0,"P461",IF(AND(OR(ISNUMBER(SEARCH("Varadero",C461)),ISNUMBER(SEARCH("Cayo Coco",C461)),ISNUMBER(SEARCH("Cayo Santa María",C461)),ISNUMBER(SEARCH("Cayo Santa Maria",C461)),ISNUMBER(SEARCH("Cayo Guillermo",C461)),ISNUMBER(SEARCH("Cayo Las Brujas",C461)),ISNUMBER(SEARCH("Cayo Ensenachos",C461)),ISNUMBER(SEARCH("Holguín",C461)),ISNUMBER(SEARCH("Holguin",C461)),ISNUMBER(SEARCH("Havana",C461)),ISNUMBER(SEARCH("Old Havana",C461)),ISNUMBER(SEARCH("Vedado",C461)),ISNUMBER(SEARCH("Miramar",C461))),NOT(ISNUMBER(SEARCH("historical",F461)))),"P461",IF(OR(ISNUMBER(SEARCH("historical",F461)),H461="Low",ISNUMBER(SEARCH("to verify",F461)),ISNUMBER(SEARCH("requires verification",F461))),"Backlog","P462")))))</f>
        <v/>
      </c>
    </row>
    <row r="462" ht="15.75" customHeight="1">
      <c r="H462" s="13"/>
      <c r="L462" s="13" t="str">
        <f>IF(A462="","",IF(OR(COUNTIF('Priority Rules'!$A$2:$A$24,A462)&gt;0,COUNTIF('Priority Rules'!$B$2:$B$8,B462)&gt;0),"P461",IF(COUNTIF('Priority Rules'!$C$2:$C$9,A462)&gt;0,"P462",IF(AND(OR(ISNUMBER(SEARCH("Varadero",C462)),ISNUMBER(SEARCH("Cayo Coco",C462)),ISNUMBER(SEARCH("Cayo Santa María",C462)),ISNUMBER(SEARCH("Cayo Santa Maria",C462)),ISNUMBER(SEARCH("Cayo Guillermo",C462)),ISNUMBER(SEARCH("Cayo Las Brujas",C462)),ISNUMBER(SEARCH("Cayo Ensenachos",C462)),ISNUMBER(SEARCH("Holguín",C462)),ISNUMBER(SEARCH("Holguin",C462)),ISNUMBER(SEARCH("Havana",C462)),ISNUMBER(SEARCH("Old Havana",C462)),ISNUMBER(SEARCH("Vedado",C462)),ISNUMBER(SEARCH("Miramar",C462))),NOT(ISNUMBER(SEARCH("historical",F462)))),"P462",IF(OR(ISNUMBER(SEARCH("historical",F462)),H462="Low",ISNUMBER(SEARCH("to verify",F462)),ISNUMBER(SEARCH("requires verification",F462))),"Backlog","P463")))))</f>
        <v/>
      </c>
    </row>
    <row r="463" ht="15.75" customHeight="1">
      <c r="H463" s="13"/>
      <c r="L463" s="13" t="str">
        <f>IF(A463="","",IF(OR(COUNTIF('Priority Rules'!$A$2:$A$24,A463)&gt;0,COUNTIF('Priority Rules'!$B$2:$B$8,B463)&gt;0),"P462",IF(COUNTIF('Priority Rules'!$C$2:$C$9,A463)&gt;0,"P463",IF(AND(OR(ISNUMBER(SEARCH("Varadero",C463)),ISNUMBER(SEARCH("Cayo Coco",C463)),ISNUMBER(SEARCH("Cayo Santa María",C463)),ISNUMBER(SEARCH("Cayo Santa Maria",C463)),ISNUMBER(SEARCH("Cayo Guillermo",C463)),ISNUMBER(SEARCH("Cayo Las Brujas",C463)),ISNUMBER(SEARCH("Cayo Ensenachos",C463)),ISNUMBER(SEARCH("Holguín",C463)),ISNUMBER(SEARCH("Holguin",C463)),ISNUMBER(SEARCH("Havana",C463)),ISNUMBER(SEARCH("Old Havana",C463)),ISNUMBER(SEARCH("Vedado",C463)),ISNUMBER(SEARCH("Miramar",C463))),NOT(ISNUMBER(SEARCH("historical",F463)))),"P463",IF(OR(ISNUMBER(SEARCH("historical",F463)),H463="Low",ISNUMBER(SEARCH("to verify",F463)),ISNUMBER(SEARCH("requires verification",F463))),"Backlog","P464")))))</f>
        <v/>
      </c>
    </row>
    <row r="464" ht="15.75" customHeight="1">
      <c r="H464" s="13"/>
      <c r="L464" s="13" t="str">
        <f>IF(A464="","",IF(OR(COUNTIF('Priority Rules'!$A$2:$A$24,A464)&gt;0,COUNTIF('Priority Rules'!$B$2:$B$8,B464)&gt;0),"P463",IF(COUNTIF('Priority Rules'!$C$2:$C$9,A464)&gt;0,"P464",IF(AND(OR(ISNUMBER(SEARCH("Varadero",C464)),ISNUMBER(SEARCH("Cayo Coco",C464)),ISNUMBER(SEARCH("Cayo Santa María",C464)),ISNUMBER(SEARCH("Cayo Santa Maria",C464)),ISNUMBER(SEARCH("Cayo Guillermo",C464)),ISNUMBER(SEARCH("Cayo Las Brujas",C464)),ISNUMBER(SEARCH("Cayo Ensenachos",C464)),ISNUMBER(SEARCH("Holguín",C464)),ISNUMBER(SEARCH("Holguin",C464)),ISNUMBER(SEARCH("Havana",C464)),ISNUMBER(SEARCH("Old Havana",C464)),ISNUMBER(SEARCH("Vedado",C464)),ISNUMBER(SEARCH("Miramar",C464))),NOT(ISNUMBER(SEARCH("historical",F464)))),"P464",IF(OR(ISNUMBER(SEARCH("historical",F464)),H464="Low",ISNUMBER(SEARCH("to verify",F464)),ISNUMBER(SEARCH("requires verification",F464))),"Backlog","P465")))))</f>
        <v/>
      </c>
    </row>
    <row r="465" ht="15.75" customHeight="1">
      <c r="H465" s="13"/>
      <c r="L465" s="13" t="str">
        <f>IF(A465="","",IF(OR(COUNTIF('Priority Rules'!$A$2:$A$24,A465)&gt;0,COUNTIF('Priority Rules'!$B$2:$B$8,B465)&gt;0),"P464",IF(COUNTIF('Priority Rules'!$C$2:$C$9,A465)&gt;0,"P465",IF(AND(OR(ISNUMBER(SEARCH("Varadero",C465)),ISNUMBER(SEARCH("Cayo Coco",C465)),ISNUMBER(SEARCH("Cayo Santa María",C465)),ISNUMBER(SEARCH("Cayo Santa Maria",C465)),ISNUMBER(SEARCH("Cayo Guillermo",C465)),ISNUMBER(SEARCH("Cayo Las Brujas",C465)),ISNUMBER(SEARCH("Cayo Ensenachos",C465)),ISNUMBER(SEARCH("Holguín",C465)),ISNUMBER(SEARCH("Holguin",C465)),ISNUMBER(SEARCH("Havana",C465)),ISNUMBER(SEARCH("Old Havana",C465)),ISNUMBER(SEARCH("Vedado",C465)),ISNUMBER(SEARCH("Miramar",C465))),NOT(ISNUMBER(SEARCH("historical",F465)))),"P465",IF(OR(ISNUMBER(SEARCH("historical",F465)),H465="Low",ISNUMBER(SEARCH("to verify",F465)),ISNUMBER(SEARCH("requires verification",F465))),"Backlog","P466")))))</f>
        <v/>
      </c>
    </row>
    <row r="466" ht="15.75" customHeight="1">
      <c r="H466" s="13"/>
      <c r="L466" s="13" t="str">
        <f>IF(A466="","",IF(OR(COUNTIF('Priority Rules'!$A$2:$A$24,A466)&gt;0,COUNTIF('Priority Rules'!$B$2:$B$8,B466)&gt;0),"P465",IF(COUNTIF('Priority Rules'!$C$2:$C$9,A466)&gt;0,"P466",IF(AND(OR(ISNUMBER(SEARCH("Varadero",C466)),ISNUMBER(SEARCH("Cayo Coco",C466)),ISNUMBER(SEARCH("Cayo Santa María",C466)),ISNUMBER(SEARCH("Cayo Santa Maria",C466)),ISNUMBER(SEARCH("Cayo Guillermo",C466)),ISNUMBER(SEARCH("Cayo Las Brujas",C466)),ISNUMBER(SEARCH("Cayo Ensenachos",C466)),ISNUMBER(SEARCH("Holguín",C466)),ISNUMBER(SEARCH("Holguin",C466)),ISNUMBER(SEARCH("Havana",C466)),ISNUMBER(SEARCH("Old Havana",C466)),ISNUMBER(SEARCH("Vedado",C466)),ISNUMBER(SEARCH("Miramar",C466))),NOT(ISNUMBER(SEARCH("historical",F466)))),"P466",IF(OR(ISNUMBER(SEARCH("historical",F466)),H466="Low",ISNUMBER(SEARCH("to verify",F466)),ISNUMBER(SEARCH("requires verification",F466))),"Backlog","P467")))))</f>
        <v/>
      </c>
    </row>
    <row r="467" ht="15.75" customHeight="1">
      <c r="H467" s="13"/>
      <c r="L467" s="13" t="str">
        <f>IF(A467="","",IF(OR(COUNTIF('Priority Rules'!$A$2:$A$24,A467)&gt;0,COUNTIF('Priority Rules'!$B$2:$B$8,B467)&gt;0),"P466",IF(COUNTIF('Priority Rules'!$C$2:$C$9,A467)&gt;0,"P467",IF(AND(OR(ISNUMBER(SEARCH("Varadero",C467)),ISNUMBER(SEARCH("Cayo Coco",C467)),ISNUMBER(SEARCH("Cayo Santa María",C467)),ISNUMBER(SEARCH("Cayo Santa Maria",C467)),ISNUMBER(SEARCH("Cayo Guillermo",C467)),ISNUMBER(SEARCH("Cayo Las Brujas",C467)),ISNUMBER(SEARCH("Cayo Ensenachos",C467)),ISNUMBER(SEARCH("Holguín",C467)),ISNUMBER(SEARCH("Holguin",C467)),ISNUMBER(SEARCH("Havana",C467)),ISNUMBER(SEARCH("Old Havana",C467)),ISNUMBER(SEARCH("Vedado",C467)),ISNUMBER(SEARCH("Miramar",C467))),NOT(ISNUMBER(SEARCH("historical",F467)))),"P467",IF(OR(ISNUMBER(SEARCH("historical",F467)),H467="Low",ISNUMBER(SEARCH("to verify",F467)),ISNUMBER(SEARCH("requires verification",F467))),"Backlog","P468")))))</f>
        <v/>
      </c>
    </row>
    <row r="468" ht="15.75" customHeight="1">
      <c r="H468" s="13"/>
      <c r="L468" s="13" t="str">
        <f>IF(A468="","",IF(OR(COUNTIF('Priority Rules'!$A$2:$A$24,A468)&gt;0,COUNTIF('Priority Rules'!$B$2:$B$8,B468)&gt;0),"P467",IF(COUNTIF('Priority Rules'!$C$2:$C$9,A468)&gt;0,"P468",IF(AND(OR(ISNUMBER(SEARCH("Varadero",C468)),ISNUMBER(SEARCH("Cayo Coco",C468)),ISNUMBER(SEARCH("Cayo Santa María",C468)),ISNUMBER(SEARCH("Cayo Santa Maria",C468)),ISNUMBER(SEARCH("Cayo Guillermo",C468)),ISNUMBER(SEARCH("Cayo Las Brujas",C468)),ISNUMBER(SEARCH("Cayo Ensenachos",C468)),ISNUMBER(SEARCH("Holguín",C468)),ISNUMBER(SEARCH("Holguin",C468)),ISNUMBER(SEARCH("Havana",C468)),ISNUMBER(SEARCH("Old Havana",C468)),ISNUMBER(SEARCH("Vedado",C468)),ISNUMBER(SEARCH("Miramar",C468))),NOT(ISNUMBER(SEARCH("historical",F468)))),"P468",IF(OR(ISNUMBER(SEARCH("historical",F468)),H468="Low",ISNUMBER(SEARCH("to verify",F468)),ISNUMBER(SEARCH("requires verification",F468))),"Backlog","P469")))))</f>
        <v/>
      </c>
    </row>
    <row r="469" ht="15.75" customHeight="1">
      <c r="H469" s="13"/>
      <c r="L469" s="13" t="str">
        <f>IF(A469="","",IF(OR(COUNTIF('Priority Rules'!$A$2:$A$24,A469)&gt;0,COUNTIF('Priority Rules'!$B$2:$B$8,B469)&gt;0),"P468",IF(COUNTIF('Priority Rules'!$C$2:$C$9,A469)&gt;0,"P469",IF(AND(OR(ISNUMBER(SEARCH("Varadero",C469)),ISNUMBER(SEARCH("Cayo Coco",C469)),ISNUMBER(SEARCH("Cayo Santa María",C469)),ISNUMBER(SEARCH("Cayo Santa Maria",C469)),ISNUMBER(SEARCH("Cayo Guillermo",C469)),ISNUMBER(SEARCH("Cayo Las Brujas",C469)),ISNUMBER(SEARCH("Cayo Ensenachos",C469)),ISNUMBER(SEARCH("Holguín",C469)),ISNUMBER(SEARCH("Holguin",C469)),ISNUMBER(SEARCH("Havana",C469)),ISNUMBER(SEARCH("Old Havana",C469)),ISNUMBER(SEARCH("Vedado",C469)),ISNUMBER(SEARCH("Miramar",C469))),NOT(ISNUMBER(SEARCH("historical",F469)))),"P469",IF(OR(ISNUMBER(SEARCH("historical",F469)),H469="Low",ISNUMBER(SEARCH("to verify",F469)),ISNUMBER(SEARCH("requires verification",F469))),"Backlog","P470")))))</f>
        <v/>
      </c>
    </row>
    <row r="470" ht="15.75" customHeight="1">
      <c r="H470" s="13"/>
      <c r="L470" s="13" t="str">
        <f>IF(A470="","",IF(OR(COUNTIF('Priority Rules'!$A$2:$A$24,A470)&gt;0,COUNTIF('Priority Rules'!$B$2:$B$8,B470)&gt;0),"P469",IF(COUNTIF('Priority Rules'!$C$2:$C$9,A470)&gt;0,"P470",IF(AND(OR(ISNUMBER(SEARCH("Varadero",C470)),ISNUMBER(SEARCH("Cayo Coco",C470)),ISNUMBER(SEARCH("Cayo Santa María",C470)),ISNUMBER(SEARCH("Cayo Santa Maria",C470)),ISNUMBER(SEARCH("Cayo Guillermo",C470)),ISNUMBER(SEARCH("Cayo Las Brujas",C470)),ISNUMBER(SEARCH("Cayo Ensenachos",C470)),ISNUMBER(SEARCH("Holguín",C470)),ISNUMBER(SEARCH("Holguin",C470)),ISNUMBER(SEARCH("Havana",C470)),ISNUMBER(SEARCH("Old Havana",C470)),ISNUMBER(SEARCH("Vedado",C470)),ISNUMBER(SEARCH("Miramar",C470))),NOT(ISNUMBER(SEARCH("historical",F470)))),"P470",IF(OR(ISNUMBER(SEARCH("historical",F470)),H470="Low",ISNUMBER(SEARCH("to verify",F470)),ISNUMBER(SEARCH("requires verification",F470))),"Backlog","P471")))))</f>
        <v/>
      </c>
    </row>
    <row r="471" ht="15.75" customHeight="1">
      <c r="H471" s="13"/>
      <c r="L471" s="13" t="str">
        <f>IF(A471="","",IF(OR(COUNTIF('Priority Rules'!$A$2:$A$24,A471)&gt;0,COUNTIF('Priority Rules'!$B$2:$B$8,B471)&gt;0),"P470",IF(COUNTIF('Priority Rules'!$C$2:$C$9,A471)&gt;0,"P471",IF(AND(OR(ISNUMBER(SEARCH("Varadero",C471)),ISNUMBER(SEARCH("Cayo Coco",C471)),ISNUMBER(SEARCH("Cayo Santa María",C471)),ISNUMBER(SEARCH("Cayo Santa Maria",C471)),ISNUMBER(SEARCH("Cayo Guillermo",C471)),ISNUMBER(SEARCH("Cayo Las Brujas",C471)),ISNUMBER(SEARCH("Cayo Ensenachos",C471)),ISNUMBER(SEARCH("Holguín",C471)),ISNUMBER(SEARCH("Holguin",C471)),ISNUMBER(SEARCH("Havana",C471)),ISNUMBER(SEARCH("Old Havana",C471)),ISNUMBER(SEARCH("Vedado",C471)),ISNUMBER(SEARCH("Miramar",C471))),NOT(ISNUMBER(SEARCH("historical",F471)))),"P471",IF(OR(ISNUMBER(SEARCH("historical",F471)),H471="Low",ISNUMBER(SEARCH("to verify",F471)),ISNUMBER(SEARCH("requires verification",F471))),"Backlog","P472")))))</f>
        <v/>
      </c>
    </row>
    <row r="472" ht="15.75" customHeight="1">
      <c r="H472" s="13"/>
      <c r="L472" s="13" t="str">
        <f>IF(A472="","",IF(OR(COUNTIF('Priority Rules'!$A$2:$A$24,A472)&gt;0,COUNTIF('Priority Rules'!$B$2:$B$8,B472)&gt;0),"P471",IF(COUNTIF('Priority Rules'!$C$2:$C$9,A472)&gt;0,"P472",IF(AND(OR(ISNUMBER(SEARCH("Varadero",C472)),ISNUMBER(SEARCH("Cayo Coco",C472)),ISNUMBER(SEARCH("Cayo Santa María",C472)),ISNUMBER(SEARCH("Cayo Santa Maria",C472)),ISNUMBER(SEARCH("Cayo Guillermo",C472)),ISNUMBER(SEARCH("Cayo Las Brujas",C472)),ISNUMBER(SEARCH("Cayo Ensenachos",C472)),ISNUMBER(SEARCH("Holguín",C472)),ISNUMBER(SEARCH("Holguin",C472)),ISNUMBER(SEARCH("Havana",C472)),ISNUMBER(SEARCH("Old Havana",C472)),ISNUMBER(SEARCH("Vedado",C472)),ISNUMBER(SEARCH("Miramar",C472))),NOT(ISNUMBER(SEARCH("historical",F472)))),"P472",IF(OR(ISNUMBER(SEARCH("historical",F472)),H472="Low",ISNUMBER(SEARCH("to verify",F472)),ISNUMBER(SEARCH("requires verification",F472))),"Backlog","P473")))))</f>
        <v/>
      </c>
    </row>
    <row r="473" ht="15.75" customHeight="1">
      <c r="H473" s="13"/>
      <c r="L473" s="13" t="str">
        <f>IF(A473="","",IF(OR(COUNTIF('Priority Rules'!$A$2:$A$24,A473)&gt;0,COUNTIF('Priority Rules'!$B$2:$B$8,B473)&gt;0),"P472",IF(COUNTIF('Priority Rules'!$C$2:$C$9,A473)&gt;0,"P473",IF(AND(OR(ISNUMBER(SEARCH("Varadero",C473)),ISNUMBER(SEARCH("Cayo Coco",C473)),ISNUMBER(SEARCH("Cayo Santa María",C473)),ISNUMBER(SEARCH("Cayo Santa Maria",C473)),ISNUMBER(SEARCH("Cayo Guillermo",C473)),ISNUMBER(SEARCH("Cayo Las Brujas",C473)),ISNUMBER(SEARCH("Cayo Ensenachos",C473)),ISNUMBER(SEARCH("Holguín",C473)),ISNUMBER(SEARCH("Holguin",C473)),ISNUMBER(SEARCH("Havana",C473)),ISNUMBER(SEARCH("Old Havana",C473)),ISNUMBER(SEARCH("Vedado",C473)),ISNUMBER(SEARCH("Miramar",C473))),NOT(ISNUMBER(SEARCH("historical",F473)))),"P473",IF(OR(ISNUMBER(SEARCH("historical",F473)),H473="Low",ISNUMBER(SEARCH("to verify",F473)),ISNUMBER(SEARCH("requires verification",F473))),"Backlog","P474")))))</f>
        <v/>
      </c>
    </row>
    <row r="474" ht="15.75" customHeight="1">
      <c r="H474" s="13"/>
      <c r="L474" s="13" t="str">
        <f>IF(A474="","",IF(OR(COUNTIF('Priority Rules'!$A$2:$A$24,A474)&gt;0,COUNTIF('Priority Rules'!$B$2:$B$8,B474)&gt;0),"P473",IF(COUNTIF('Priority Rules'!$C$2:$C$9,A474)&gt;0,"P474",IF(AND(OR(ISNUMBER(SEARCH("Varadero",C474)),ISNUMBER(SEARCH("Cayo Coco",C474)),ISNUMBER(SEARCH("Cayo Santa María",C474)),ISNUMBER(SEARCH("Cayo Santa Maria",C474)),ISNUMBER(SEARCH("Cayo Guillermo",C474)),ISNUMBER(SEARCH("Cayo Las Brujas",C474)),ISNUMBER(SEARCH("Cayo Ensenachos",C474)),ISNUMBER(SEARCH("Holguín",C474)),ISNUMBER(SEARCH("Holguin",C474)),ISNUMBER(SEARCH("Havana",C474)),ISNUMBER(SEARCH("Old Havana",C474)),ISNUMBER(SEARCH("Vedado",C474)),ISNUMBER(SEARCH("Miramar",C474))),NOT(ISNUMBER(SEARCH("historical",F474)))),"P474",IF(OR(ISNUMBER(SEARCH("historical",F474)),H474="Low",ISNUMBER(SEARCH("to verify",F474)),ISNUMBER(SEARCH("requires verification",F474))),"Backlog","P475")))))</f>
        <v/>
      </c>
    </row>
    <row r="475" ht="15.75" customHeight="1">
      <c r="H475" s="13"/>
      <c r="L475" s="13" t="str">
        <f>IF(A475="","",IF(OR(COUNTIF('Priority Rules'!$A$2:$A$24,A475)&gt;0,COUNTIF('Priority Rules'!$B$2:$B$8,B475)&gt;0),"P474",IF(COUNTIF('Priority Rules'!$C$2:$C$9,A475)&gt;0,"P475",IF(AND(OR(ISNUMBER(SEARCH("Varadero",C475)),ISNUMBER(SEARCH("Cayo Coco",C475)),ISNUMBER(SEARCH("Cayo Santa María",C475)),ISNUMBER(SEARCH("Cayo Santa Maria",C475)),ISNUMBER(SEARCH("Cayo Guillermo",C475)),ISNUMBER(SEARCH("Cayo Las Brujas",C475)),ISNUMBER(SEARCH("Cayo Ensenachos",C475)),ISNUMBER(SEARCH("Holguín",C475)),ISNUMBER(SEARCH("Holguin",C475)),ISNUMBER(SEARCH("Havana",C475)),ISNUMBER(SEARCH("Old Havana",C475)),ISNUMBER(SEARCH("Vedado",C475)),ISNUMBER(SEARCH("Miramar",C475))),NOT(ISNUMBER(SEARCH("historical",F475)))),"P475",IF(OR(ISNUMBER(SEARCH("historical",F475)),H475="Low",ISNUMBER(SEARCH("to verify",F475)),ISNUMBER(SEARCH("requires verification",F475))),"Backlog","P476")))))</f>
        <v/>
      </c>
    </row>
    <row r="476" ht="15.75" customHeight="1">
      <c r="H476" s="13"/>
      <c r="L476" s="13" t="str">
        <f>IF(A476="","",IF(OR(COUNTIF('Priority Rules'!$A$2:$A$24,A476)&gt;0,COUNTIF('Priority Rules'!$B$2:$B$8,B476)&gt;0),"P475",IF(COUNTIF('Priority Rules'!$C$2:$C$9,A476)&gt;0,"P476",IF(AND(OR(ISNUMBER(SEARCH("Varadero",C476)),ISNUMBER(SEARCH("Cayo Coco",C476)),ISNUMBER(SEARCH("Cayo Santa María",C476)),ISNUMBER(SEARCH("Cayo Santa Maria",C476)),ISNUMBER(SEARCH("Cayo Guillermo",C476)),ISNUMBER(SEARCH("Cayo Las Brujas",C476)),ISNUMBER(SEARCH("Cayo Ensenachos",C476)),ISNUMBER(SEARCH("Holguín",C476)),ISNUMBER(SEARCH("Holguin",C476)),ISNUMBER(SEARCH("Havana",C476)),ISNUMBER(SEARCH("Old Havana",C476)),ISNUMBER(SEARCH("Vedado",C476)),ISNUMBER(SEARCH("Miramar",C476))),NOT(ISNUMBER(SEARCH("historical",F476)))),"P476",IF(OR(ISNUMBER(SEARCH("historical",F476)),H476="Low",ISNUMBER(SEARCH("to verify",F476)),ISNUMBER(SEARCH("requires verification",F476))),"Backlog","P477")))))</f>
        <v/>
      </c>
    </row>
    <row r="477" ht="15.75" customHeight="1">
      <c r="H477" s="13"/>
      <c r="L477" s="13" t="str">
        <f>IF(A477="","",IF(OR(COUNTIF('Priority Rules'!$A$2:$A$24,A477)&gt;0,COUNTIF('Priority Rules'!$B$2:$B$8,B477)&gt;0),"P476",IF(COUNTIF('Priority Rules'!$C$2:$C$9,A477)&gt;0,"P477",IF(AND(OR(ISNUMBER(SEARCH("Varadero",C477)),ISNUMBER(SEARCH("Cayo Coco",C477)),ISNUMBER(SEARCH("Cayo Santa María",C477)),ISNUMBER(SEARCH("Cayo Santa Maria",C477)),ISNUMBER(SEARCH("Cayo Guillermo",C477)),ISNUMBER(SEARCH("Cayo Las Brujas",C477)),ISNUMBER(SEARCH("Cayo Ensenachos",C477)),ISNUMBER(SEARCH("Holguín",C477)),ISNUMBER(SEARCH("Holguin",C477)),ISNUMBER(SEARCH("Havana",C477)),ISNUMBER(SEARCH("Old Havana",C477)),ISNUMBER(SEARCH("Vedado",C477)),ISNUMBER(SEARCH("Miramar",C477))),NOT(ISNUMBER(SEARCH("historical",F477)))),"P477",IF(OR(ISNUMBER(SEARCH("historical",F477)),H477="Low",ISNUMBER(SEARCH("to verify",F477)),ISNUMBER(SEARCH("requires verification",F477))),"Backlog","P478")))))</f>
        <v/>
      </c>
    </row>
    <row r="478" ht="15.75" customHeight="1">
      <c r="H478" s="13"/>
      <c r="L478" s="13" t="str">
        <f>IF(A478="","",IF(OR(COUNTIF('Priority Rules'!$A$2:$A$24,A478)&gt;0,COUNTIF('Priority Rules'!$B$2:$B$8,B478)&gt;0),"P477",IF(COUNTIF('Priority Rules'!$C$2:$C$9,A478)&gt;0,"P478",IF(AND(OR(ISNUMBER(SEARCH("Varadero",C478)),ISNUMBER(SEARCH("Cayo Coco",C478)),ISNUMBER(SEARCH("Cayo Santa María",C478)),ISNUMBER(SEARCH("Cayo Santa Maria",C478)),ISNUMBER(SEARCH("Cayo Guillermo",C478)),ISNUMBER(SEARCH("Cayo Las Brujas",C478)),ISNUMBER(SEARCH("Cayo Ensenachos",C478)),ISNUMBER(SEARCH("Holguín",C478)),ISNUMBER(SEARCH("Holguin",C478)),ISNUMBER(SEARCH("Havana",C478)),ISNUMBER(SEARCH("Old Havana",C478)),ISNUMBER(SEARCH("Vedado",C478)),ISNUMBER(SEARCH("Miramar",C478))),NOT(ISNUMBER(SEARCH("historical",F478)))),"P478",IF(OR(ISNUMBER(SEARCH("historical",F478)),H478="Low",ISNUMBER(SEARCH("to verify",F478)),ISNUMBER(SEARCH("requires verification",F478))),"Backlog","P479")))))</f>
        <v/>
      </c>
    </row>
    <row r="479" ht="15.75" customHeight="1">
      <c r="H479" s="13"/>
      <c r="L479" s="13" t="str">
        <f>IF(A479="","",IF(OR(COUNTIF('Priority Rules'!$A$2:$A$24,A479)&gt;0,COUNTIF('Priority Rules'!$B$2:$B$8,B479)&gt;0),"P478",IF(COUNTIF('Priority Rules'!$C$2:$C$9,A479)&gt;0,"P479",IF(AND(OR(ISNUMBER(SEARCH("Varadero",C479)),ISNUMBER(SEARCH("Cayo Coco",C479)),ISNUMBER(SEARCH("Cayo Santa María",C479)),ISNUMBER(SEARCH("Cayo Santa Maria",C479)),ISNUMBER(SEARCH("Cayo Guillermo",C479)),ISNUMBER(SEARCH("Cayo Las Brujas",C479)),ISNUMBER(SEARCH("Cayo Ensenachos",C479)),ISNUMBER(SEARCH("Holguín",C479)),ISNUMBER(SEARCH("Holguin",C479)),ISNUMBER(SEARCH("Havana",C479)),ISNUMBER(SEARCH("Old Havana",C479)),ISNUMBER(SEARCH("Vedado",C479)),ISNUMBER(SEARCH("Miramar",C479))),NOT(ISNUMBER(SEARCH("historical",F479)))),"P479",IF(OR(ISNUMBER(SEARCH("historical",F479)),H479="Low",ISNUMBER(SEARCH("to verify",F479)),ISNUMBER(SEARCH("requires verification",F479))),"Backlog","P480")))))</f>
        <v/>
      </c>
    </row>
    <row r="480" ht="15.75" customHeight="1">
      <c r="H480" s="13"/>
      <c r="L480" s="13" t="str">
        <f>IF(A480="","",IF(OR(COUNTIF('Priority Rules'!$A$2:$A$24,A480)&gt;0,COUNTIF('Priority Rules'!$B$2:$B$8,B480)&gt;0),"P479",IF(COUNTIF('Priority Rules'!$C$2:$C$9,A480)&gt;0,"P480",IF(AND(OR(ISNUMBER(SEARCH("Varadero",C480)),ISNUMBER(SEARCH("Cayo Coco",C480)),ISNUMBER(SEARCH("Cayo Santa María",C480)),ISNUMBER(SEARCH("Cayo Santa Maria",C480)),ISNUMBER(SEARCH("Cayo Guillermo",C480)),ISNUMBER(SEARCH("Cayo Las Brujas",C480)),ISNUMBER(SEARCH("Cayo Ensenachos",C480)),ISNUMBER(SEARCH("Holguín",C480)),ISNUMBER(SEARCH("Holguin",C480)),ISNUMBER(SEARCH("Havana",C480)),ISNUMBER(SEARCH("Old Havana",C480)),ISNUMBER(SEARCH("Vedado",C480)),ISNUMBER(SEARCH("Miramar",C480))),NOT(ISNUMBER(SEARCH("historical",F480)))),"P480",IF(OR(ISNUMBER(SEARCH("historical",F480)),H480="Low",ISNUMBER(SEARCH("to verify",F480)),ISNUMBER(SEARCH("requires verification",F480))),"Backlog","P481")))))</f>
        <v/>
      </c>
    </row>
    <row r="481" ht="15.75" customHeight="1">
      <c r="H481" s="13"/>
      <c r="L481" s="13" t="str">
        <f>IF(A481="","",IF(OR(COUNTIF('Priority Rules'!$A$2:$A$24,A481)&gt;0,COUNTIF('Priority Rules'!$B$2:$B$8,B481)&gt;0),"P480",IF(COUNTIF('Priority Rules'!$C$2:$C$9,A481)&gt;0,"P481",IF(AND(OR(ISNUMBER(SEARCH("Varadero",C481)),ISNUMBER(SEARCH("Cayo Coco",C481)),ISNUMBER(SEARCH("Cayo Santa María",C481)),ISNUMBER(SEARCH("Cayo Santa Maria",C481)),ISNUMBER(SEARCH("Cayo Guillermo",C481)),ISNUMBER(SEARCH("Cayo Las Brujas",C481)),ISNUMBER(SEARCH("Cayo Ensenachos",C481)),ISNUMBER(SEARCH("Holguín",C481)),ISNUMBER(SEARCH("Holguin",C481)),ISNUMBER(SEARCH("Havana",C481)),ISNUMBER(SEARCH("Old Havana",C481)),ISNUMBER(SEARCH("Vedado",C481)),ISNUMBER(SEARCH("Miramar",C481))),NOT(ISNUMBER(SEARCH("historical",F481)))),"P481",IF(OR(ISNUMBER(SEARCH("historical",F481)),H481="Low",ISNUMBER(SEARCH("to verify",F481)),ISNUMBER(SEARCH("requires verification",F481))),"Backlog","P482")))))</f>
        <v/>
      </c>
    </row>
    <row r="482" ht="15.75" customHeight="1">
      <c r="H482" s="13"/>
      <c r="L482" s="13" t="str">
        <f>IF(A482="","",IF(OR(COUNTIF('Priority Rules'!$A$2:$A$24,A482)&gt;0,COUNTIF('Priority Rules'!$B$2:$B$8,B482)&gt;0),"P481",IF(COUNTIF('Priority Rules'!$C$2:$C$9,A482)&gt;0,"P482",IF(AND(OR(ISNUMBER(SEARCH("Varadero",C482)),ISNUMBER(SEARCH("Cayo Coco",C482)),ISNUMBER(SEARCH("Cayo Santa María",C482)),ISNUMBER(SEARCH("Cayo Santa Maria",C482)),ISNUMBER(SEARCH("Cayo Guillermo",C482)),ISNUMBER(SEARCH("Cayo Las Brujas",C482)),ISNUMBER(SEARCH("Cayo Ensenachos",C482)),ISNUMBER(SEARCH("Holguín",C482)),ISNUMBER(SEARCH("Holguin",C482)),ISNUMBER(SEARCH("Havana",C482)),ISNUMBER(SEARCH("Old Havana",C482)),ISNUMBER(SEARCH("Vedado",C482)),ISNUMBER(SEARCH("Miramar",C482))),NOT(ISNUMBER(SEARCH("historical",F482)))),"P482",IF(OR(ISNUMBER(SEARCH("historical",F482)),H482="Low",ISNUMBER(SEARCH("to verify",F482)),ISNUMBER(SEARCH("requires verification",F482))),"Backlog","P483")))))</f>
        <v/>
      </c>
    </row>
    <row r="483" ht="15.75" customHeight="1">
      <c r="H483" s="13"/>
      <c r="L483" s="13" t="str">
        <f>IF(A483="","",IF(OR(COUNTIF('Priority Rules'!$A$2:$A$24,A483)&gt;0,COUNTIF('Priority Rules'!$B$2:$B$8,B483)&gt;0),"P482",IF(COUNTIF('Priority Rules'!$C$2:$C$9,A483)&gt;0,"P483",IF(AND(OR(ISNUMBER(SEARCH("Varadero",C483)),ISNUMBER(SEARCH("Cayo Coco",C483)),ISNUMBER(SEARCH("Cayo Santa María",C483)),ISNUMBER(SEARCH("Cayo Santa Maria",C483)),ISNUMBER(SEARCH("Cayo Guillermo",C483)),ISNUMBER(SEARCH("Cayo Las Brujas",C483)),ISNUMBER(SEARCH("Cayo Ensenachos",C483)),ISNUMBER(SEARCH("Holguín",C483)),ISNUMBER(SEARCH("Holguin",C483)),ISNUMBER(SEARCH("Havana",C483)),ISNUMBER(SEARCH("Old Havana",C483)),ISNUMBER(SEARCH("Vedado",C483)),ISNUMBER(SEARCH("Miramar",C483))),NOT(ISNUMBER(SEARCH("historical",F483)))),"P483",IF(OR(ISNUMBER(SEARCH("historical",F483)),H483="Low",ISNUMBER(SEARCH("to verify",F483)),ISNUMBER(SEARCH("requires verification",F483))),"Backlog","P484")))))</f>
        <v/>
      </c>
    </row>
    <row r="484" ht="15.75" customHeight="1">
      <c r="H484" s="13"/>
      <c r="L484" s="13" t="str">
        <f>IF(A484="","",IF(OR(COUNTIF('Priority Rules'!$A$2:$A$24,A484)&gt;0,COUNTIF('Priority Rules'!$B$2:$B$8,B484)&gt;0),"P483",IF(COUNTIF('Priority Rules'!$C$2:$C$9,A484)&gt;0,"P484",IF(AND(OR(ISNUMBER(SEARCH("Varadero",C484)),ISNUMBER(SEARCH("Cayo Coco",C484)),ISNUMBER(SEARCH("Cayo Santa María",C484)),ISNUMBER(SEARCH("Cayo Santa Maria",C484)),ISNUMBER(SEARCH("Cayo Guillermo",C484)),ISNUMBER(SEARCH("Cayo Las Brujas",C484)),ISNUMBER(SEARCH("Cayo Ensenachos",C484)),ISNUMBER(SEARCH("Holguín",C484)),ISNUMBER(SEARCH("Holguin",C484)),ISNUMBER(SEARCH("Havana",C484)),ISNUMBER(SEARCH("Old Havana",C484)),ISNUMBER(SEARCH("Vedado",C484)),ISNUMBER(SEARCH("Miramar",C484))),NOT(ISNUMBER(SEARCH("historical",F484)))),"P484",IF(OR(ISNUMBER(SEARCH("historical",F484)),H484="Low",ISNUMBER(SEARCH("to verify",F484)),ISNUMBER(SEARCH("requires verification",F484))),"Backlog","P485")))))</f>
        <v/>
      </c>
    </row>
    <row r="485" ht="15.75" customHeight="1">
      <c r="H485" s="13"/>
      <c r="L485" s="13" t="str">
        <f>IF(A485="","",IF(OR(COUNTIF('Priority Rules'!$A$2:$A$24,A485)&gt;0,COUNTIF('Priority Rules'!$B$2:$B$8,B485)&gt;0),"P484",IF(COUNTIF('Priority Rules'!$C$2:$C$9,A485)&gt;0,"P485",IF(AND(OR(ISNUMBER(SEARCH("Varadero",C485)),ISNUMBER(SEARCH("Cayo Coco",C485)),ISNUMBER(SEARCH("Cayo Santa María",C485)),ISNUMBER(SEARCH("Cayo Santa Maria",C485)),ISNUMBER(SEARCH("Cayo Guillermo",C485)),ISNUMBER(SEARCH("Cayo Las Brujas",C485)),ISNUMBER(SEARCH("Cayo Ensenachos",C485)),ISNUMBER(SEARCH("Holguín",C485)),ISNUMBER(SEARCH("Holguin",C485)),ISNUMBER(SEARCH("Havana",C485)),ISNUMBER(SEARCH("Old Havana",C485)),ISNUMBER(SEARCH("Vedado",C485)),ISNUMBER(SEARCH("Miramar",C485))),NOT(ISNUMBER(SEARCH("historical",F485)))),"P485",IF(OR(ISNUMBER(SEARCH("historical",F485)),H485="Low",ISNUMBER(SEARCH("to verify",F485)),ISNUMBER(SEARCH("requires verification",F485))),"Backlog","P486")))))</f>
        <v/>
      </c>
    </row>
    <row r="486" ht="15.75" customHeight="1">
      <c r="H486" s="13"/>
      <c r="L486" s="13" t="str">
        <f>IF(A486="","",IF(OR(COUNTIF('Priority Rules'!$A$2:$A$24,A486)&gt;0,COUNTIF('Priority Rules'!$B$2:$B$8,B486)&gt;0),"P485",IF(COUNTIF('Priority Rules'!$C$2:$C$9,A486)&gt;0,"P486",IF(AND(OR(ISNUMBER(SEARCH("Varadero",C486)),ISNUMBER(SEARCH("Cayo Coco",C486)),ISNUMBER(SEARCH("Cayo Santa María",C486)),ISNUMBER(SEARCH("Cayo Santa Maria",C486)),ISNUMBER(SEARCH("Cayo Guillermo",C486)),ISNUMBER(SEARCH("Cayo Las Brujas",C486)),ISNUMBER(SEARCH("Cayo Ensenachos",C486)),ISNUMBER(SEARCH("Holguín",C486)),ISNUMBER(SEARCH("Holguin",C486)),ISNUMBER(SEARCH("Havana",C486)),ISNUMBER(SEARCH("Old Havana",C486)),ISNUMBER(SEARCH("Vedado",C486)),ISNUMBER(SEARCH("Miramar",C486))),NOT(ISNUMBER(SEARCH("historical",F486)))),"P486",IF(OR(ISNUMBER(SEARCH("historical",F486)),H486="Low",ISNUMBER(SEARCH("to verify",F486)),ISNUMBER(SEARCH("requires verification",F486))),"Backlog","P487")))))</f>
        <v/>
      </c>
    </row>
    <row r="487" ht="15.75" customHeight="1">
      <c r="H487" s="13"/>
      <c r="L487" s="13" t="str">
        <f>IF(A487="","",IF(OR(COUNTIF('Priority Rules'!$A$2:$A$24,A487)&gt;0,COUNTIF('Priority Rules'!$B$2:$B$8,B487)&gt;0),"P486",IF(COUNTIF('Priority Rules'!$C$2:$C$9,A487)&gt;0,"P487",IF(AND(OR(ISNUMBER(SEARCH("Varadero",C487)),ISNUMBER(SEARCH("Cayo Coco",C487)),ISNUMBER(SEARCH("Cayo Santa María",C487)),ISNUMBER(SEARCH("Cayo Santa Maria",C487)),ISNUMBER(SEARCH("Cayo Guillermo",C487)),ISNUMBER(SEARCH("Cayo Las Brujas",C487)),ISNUMBER(SEARCH("Cayo Ensenachos",C487)),ISNUMBER(SEARCH("Holguín",C487)),ISNUMBER(SEARCH("Holguin",C487)),ISNUMBER(SEARCH("Havana",C487)),ISNUMBER(SEARCH("Old Havana",C487)),ISNUMBER(SEARCH("Vedado",C487)),ISNUMBER(SEARCH("Miramar",C487))),NOT(ISNUMBER(SEARCH("historical",F487)))),"P487",IF(OR(ISNUMBER(SEARCH("historical",F487)),H487="Low",ISNUMBER(SEARCH("to verify",F487)),ISNUMBER(SEARCH("requires verification",F487))),"Backlog","P488")))))</f>
        <v/>
      </c>
    </row>
    <row r="488" ht="15.75" customHeight="1">
      <c r="H488" s="13"/>
      <c r="L488" s="13" t="str">
        <f>IF(A488="","",IF(OR(COUNTIF('Priority Rules'!$A$2:$A$24,A488)&gt;0,COUNTIF('Priority Rules'!$B$2:$B$8,B488)&gt;0),"P487",IF(COUNTIF('Priority Rules'!$C$2:$C$9,A488)&gt;0,"P488",IF(AND(OR(ISNUMBER(SEARCH("Varadero",C488)),ISNUMBER(SEARCH("Cayo Coco",C488)),ISNUMBER(SEARCH("Cayo Santa María",C488)),ISNUMBER(SEARCH("Cayo Santa Maria",C488)),ISNUMBER(SEARCH("Cayo Guillermo",C488)),ISNUMBER(SEARCH("Cayo Las Brujas",C488)),ISNUMBER(SEARCH("Cayo Ensenachos",C488)),ISNUMBER(SEARCH("Holguín",C488)),ISNUMBER(SEARCH("Holguin",C488)),ISNUMBER(SEARCH("Havana",C488)),ISNUMBER(SEARCH("Old Havana",C488)),ISNUMBER(SEARCH("Vedado",C488)),ISNUMBER(SEARCH("Miramar",C488))),NOT(ISNUMBER(SEARCH("historical",F488)))),"P488",IF(OR(ISNUMBER(SEARCH("historical",F488)),H488="Low",ISNUMBER(SEARCH("to verify",F488)),ISNUMBER(SEARCH("requires verification",F488))),"Backlog","P489")))))</f>
        <v/>
      </c>
    </row>
    <row r="489" ht="15.75" customHeight="1">
      <c r="H489" s="13"/>
      <c r="L489" s="13" t="str">
        <f>IF(A489="","",IF(OR(COUNTIF('Priority Rules'!$A$2:$A$24,A489)&gt;0,COUNTIF('Priority Rules'!$B$2:$B$8,B489)&gt;0),"P488",IF(COUNTIF('Priority Rules'!$C$2:$C$9,A489)&gt;0,"P489",IF(AND(OR(ISNUMBER(SEARCH("Varadero",C489)),ISNUMBER(SEARCH("Cayo Coco",C489)),ISNUMBER(SEARCH("Cayo Santa María",C489)),ISNUMBER(SEARCH("Cayo Santa Maria",C489)),ISNUMBER(SEARCH("Cayo Guillermo",C489)),ISNUMBER(SEARCH("Cayo Las Brujas",C489)),ISNUMBER(SEARCH("Cayo Ensenachos",C489)),ISNUMBER(SEARCH("Holguín",C489)),ISNUMBER(SEARCH("Holguin",C489)),ISNUMBER(SEARCH("Havana",C489)),ISNUMBER(SEARCH("Old Havana",C489)),ISNUMBER(SEARCH("Vedado",C489)),ISNUMBER(SEARCH("Miramar",C489))),NOT(ISNUMBER(SEARCH("historical",F489)))),"P489",IF(OR(ISNUMBER(SEARCH("historical",F489)),H489="Low",ISNUMBER(SEARCH("to verify",F489)),ISNUMBER(SEARCH("requires verification",F489))),"Backlog","P490")))))</f>
        <v/>
      </c>
    </row>
    <row r="490" ht="15.75" customHeight="1">
      <c r="H490" s="13"/>
      <c r="L490" s="13" t="str">
        <f>IF(A490="","",IF(OR(COUNTIF('Priority Rules'!$A$2:$A$24,A490)&gt;0,COUNTIF('Priority Rules'!$B$2:$B$8,B490)&gt;0),"P489",IF(COUNTIF('Priority Rules'!$C$2:$C$9,A490)&gt;0,"P490",IF(AND(OR(ISNUMBER(SEARCH("Varadero",C490)),ISNUMBER(SEARCH("Cayo Coco",C490)),ISNUMBER(SEARCH("Cayo Santa María",C490)),ISNUMBER(SEARCH("Cayo Santa Maria",C490)),ISNUMBER(SEARCH("Cayo Guillermo",C490)),ISNUMBER(SEARCH("Cayo Las Brujas",C490)),ISNUMBER(SEARCH("Cayo Ensenachos",C490)),ISNUMBER(SEARCH("Holguín",C490)),ISNUMBER(SEARCH("Holguin",C490)),ISNUMBER(SEARCH("Havana",C490)),ISNUMBER(SEARCH("Old Havana",C490)),ISNUMBER(SEARCH("Vedado",C490)),ISNUMBER(SEARCH("Miramar",C490))),NOT(ISNUMBER(SEARCH("historical",F490)))),"P490",IF(OR(ISNUMBER(SEARCH("historical",F490)),H490="Low",ISNUMBER(SEARCH("to verify",F490)),ISNUMBER(SEARCH("requires verification",F490))),"Backlog","P491")))))</f>
        <v/>
      </c>
    </row>
    <row r="491" ht="15.75" customHeight="1">
      <c r="H491" s="13"/>
      <c r="L491" s="13" t="str">
        <f>IF(A491="","",IF(OR(COUNTIF('Priority Rules'!$A$2:$A$24,A491)&gt;0,COUNTIF('Priority Rules'!$B$2:$B$8,B491)&gt;0),"P490",IF(COUNTIF('Priority Rules'!$C$2:$C$9,A491)&gt;0,"P491",IF(AND(OR(ISNUMBER(SEARCH("Varadero",C491)),ISNUMBER(SEARCH("Cayo Coco",C491)),ISNUMBER(SEARCH("Cayo Santa María",C491)),ISNUMBER(SEARCH("Cayo Santa Maria",C491)),ISNUMBER(SEARCH("Cayo Guillermo",C491)),ISNUMBER(SEARCH("Cayo Las Brujas",C491)),ISNUMBER(SEARCH("Cayo Ensenachos",C491)),ISNUMBER(SEARCH("Holguín",C491)),ISNUMBER(SEARCH("Holguin",C491)),ISNUMBER(SEARCH("Havana",C491)),ISNUMBER(SEARCH("Old Havana",C491)),ISNUMBER(SEARCH("Vedado",C491)),ISNUMBER(SEARCH("Miramar",C491))),NOT(ISNUMBER(SEARCH("historical",F491)))),"P491",IF(OR(ISNUMBER(SEARCH("historical",F491)),H491="Low",ISNUMBER(SEARCH("to verify",F491)),ISNUMBER(SEARCH("requires verification",F491))),"Backlog","P492")))))</f>
        <v/>
      </c>
    </row>
    <row r="492" ht="15.75" customHeight="1">
      <c r="H492" s="13"/>
      <c r="L492" s="13" t="str">
        <f>IF(A492="","",IF(OR(COUNTIF('Priority Rules'!$A$2:$A$24,A492)&gt;0,COUNTIF('Priority Rules'!$B$2:$B$8,B492)&gt;0),"P491",IF(COUNTIF('Priority Rules'!$C$2:$C$9,A492)&gt;0,"P492",IF(AND(OR(ISNUMBER(SEARCH("Varadero",C492)),ISNUMBER(SEARCH("Cayo Coco",C492)),ISNUMBER(SEARCH("Cayo Santa María",C492)),ISNUMBER(SEARCH("Cayo Santa Maria",C492)),ISNUMBER(SEARCH("Cayo Guillermo",C492)),ISNUMBER(SEARCH("Cayo Las Brujas",C492)),ISNUMBER(SEARCH("Cayo Ensenachos",C492)),ISNUMBER(SEARCH("Holguín",C492)),ISNUMBER(SEARCH("Holguin",C492)),ISNUMBER(SEARCH("Havana",C492)),ISNUMBER(SEARCH("Old Havana",C492)),ISNUMBER(SEARCH("Vedado",C492)),ISNUMBER(SEARCH("Miramar",C492))),NOT(ISNUMBER(SEARCH("historical",F492)))),"P492",IF(OR(ISNUMBER(SEARCH("historical",F492)),H492="Low",ISNUMBER(SEARCH("to verify",F492)),ISNUMBER(SEARCH("requires verification",F492))),"Backlog","P493")))))</f>
        <v/>
      </c>
    </row>
    <row r="493" ht="15.75" customHeight="1">
      <c r="H493" s="13"/>
      <c r="L493" s="13" t="str">
        <f>IF(A493="","",IF(OR(COUNTIF('Priority Rules'!$A$2:$A$24,A493)&gt;0,COUNTIF('Priority Rules'!$B$2:$B$8,B493)&gt;0),"P492",IF(COUNTIF('Priority Rules'!$C$2:$C$9,A493)&gt;0,"P493",IF(AND(OR(ISNUMBER(SEARCH("Varadero",C493)),ISNUMBER(SEARCH("Cayo Coco",C493)),ISNUMBER(SEARCH("Cayo Santa María",C493)),ISNUMBER(SEARCH("Cayo Santa Maria",C493)),ISNUMBER(SEARCH("Cayo Guillermo",C493)),ISNUMBER(SEARCH("Cayo Las Brujas",C493)),ISNUMBER(SEARCH("Cayo Ensenachos",C493)),ISNUMBER(SEARCH("Holguín",C493)),ISNUMBER(SEARCH("Holguin",C493)),ISNUMBER(SEARCH("Havana",C493)),ISNUMBER(SEARCH("Old Havana",C493)),ISNUMBER(SEARCH("Vedado",C493)),ISNUMBER(SEARCH("Miramar",C493))),NOT(ISNUMBER(SEARCH("historical",F493)))),"P493",IF(OR(ISNUMBER(SEARCH("historical",F493)),H493="Low",ISNUMBER(SEARCH("to verify",F493)),ISNUMBER(SEARCH("requires verification",F493))),"Backlog","P494")))))</f>
        <v/>
      </c>
    </row>
    <row r="494" ht="15.75" customHeight="1">
      <c r="H494" s="13"/>
      <c r="L494" s="13" t="str">
        <f>IF(A494="","",IF(OR(COUNTIF('Priority Rules'!$A$2:$A$24,A494)&gt;0,COUNTIF('Priority Rules'!$B$2:$B$8,B494)&gt;0),"P493",IF(COUNTIF('Priority Rules'!$C$2:$C$9,A494)&gt;0,"P494",IF(AND(OR(ISNUMBER(SEARCH("Varadero",C494)),ISNUMBER(SEARCH("Cayo Coco",C494)),ISNUMBER(SEARCH("Cayo Santa María",C494)),ISNUMBER(SEARCH("Cayo Santa Maria",C494)),ISNUMBER(SEARCH("Cayo Guillermo",C494)),ISNUMBER(SEARCH("Cayo Las Brujas",C494)),ISNUMBER(SEARCH("Cayo Ensenachos",C494)),ISNUMBER(SEARCH("Holguín",C494)),ISNUMBER(SEARCH("Holguin",C494)),ISNUMBER(SEARCH("Havana",C494)),ISNUMBER(SEARCH("Old Havana",C494)),ISNUMBER(SEARCH("Vedado",C494)),ISNUMBER(SEARCH("Miramar",C494))),NOT(ISNUMBER(SEARCH("historical",F494)))),"P494",IF(OR(ISNUMBER(SEARCH("historical",F494)),H494="Low",ISNUMBER(SEARCH("to verify",F494)),ISNUMBER(SEARCH("requires verification",F494))),"Backlog","P495")))))</f>
        <v/>
      </c>
    </row>
    <row r="495" ht="15.75" customHeight="1">
      <c r="H495" s="13"/>
      <c r="L495" s="13" t="str">
        <f>IF(A495="","",IF(OR(COUNTIF('Priority Rules'!$A$2:$A$24,A495)&gt;0,COUNTIF('Priority Rules'!$B$2:$B$8,B495)&gt;0),"P494",IF(COUNTIF('Priority Rules'!$C$2:$C$9,A495)&gt;0,"P495",IF(AND(OR(ISNUMBER(SEARCH("Varadero",C495)),ISNUMBER(SEARCH("Cayo Coco",C495)),ISNUMBER(SEARCH("Cayo Santa María",C495)),ISNUMBER(SEARCH("Cayo Santa Maria",C495)),ISNUMBER(SEARCH("Cayo Guillermo",C495)),ISNUMBER(SEARCH("Cayo Las Brujas",C495)),ISNUMBER(SEARCH("Cayo Ensenachos",C495)),ISNUMBER(SEARCH("Holguín",C495)),ISNUMBER(SEARCH("Holguin",C495)),ISNUMBER(SEARCH("Havana",C495)),ISNUMBER(SEARCH("Old Havana",C495)),ISNUMBER(SEARCH("Vedado",C495)),ISNUMBER(SEARCH("Miramar",C495))),NOT(ISNUMBER(SEARCH("historical",F495)))),"P495",IF(OR(ISNUMBER(SEARCH("historical",F495)),H495="Low",ISNUMBER(SEARCH("to verify",F495)),ISNUMBER(SEARCH("requires verification",F495))),"Backlog","P496")))))</f>
        <v/>
      </c>
    </row>
    <row r="496" ht="15.75" customHeight="1">
      <c r="H496" s="13"/>
      <c r="L496" s="13" t="str">
        <f>IF(A496="","",IF(OR(COUNTIF('Priority Rules'!$A$2:$A$24,A496)&gt;0,COUNTIF('Priority Rules'!$B$2:$B$8,B496)&gt;0),"P495",IF(COUNTIF('Priority Rules'!$C$2:$C$9,A496)&gt;0,"P496",IF(AND(OR(ISNUMBER(SEARCH("Varadero",C496)),ISNUMBER(SEARCH("Cayo Coco",C496)),ISNUMBER(SEARCH("Cayo Santa María",C496)),ISNUMBER(SEARCH("Cayo Santa Maria",C496)),ISNUMBER(SEARCH("Cayo Guillermo",C496)),ISNUMBER(SEARCH("Cayo Las Brujas",C496)),ISNUMBER(SEARCH("Cayo Ensenachos",C496)),ISNUMBER(SEARCH("Holguín",C496)),ISNUMBER(SEARCH("Holguin",C496)),ISNUMBER(SEARCH("Havana",C496)),ISNUMBER(SEARCH("Old Havana",C496)),ISNUMBER(SEARCH("Vedado",C496)),ISNUMBER(SEARCH("Miramar",C496))),NOT(ISNUMBER(SEARCH("historical",F496)))),"P496",IF(OR(ISNUMBER(SEARCH("historical",F496)),H496="Low",ISNUMBER(SEARCH("to verify",F496)),ISNUMBER(SEARCH("requires verification",F496))),"Backlog","P497")))))</f>
        <v/>
      </c>
    </row>
    <row r="497" ht="15.75" customHeight="1">
      <c r="H497" s="13"/>
      <c r="L497" s="13" t="str">
        <f>IF(A497="","",IF(OR(COUNTIF('Priority Rules'!$A$2:$A$24,A497)&gt;0,COUNTIF('Priority Rules'!$B$2:$B$8,B497)&gt;0),"P496",IF(COUNTIF('Priority Rules'!$C$2:$C$9,A497)&gt;0,"P497",IF(AND(OR(ISNUMBER(SEARCH("Varadero",C497)),ISNUMBER(SEARCH("Cayo Coco",C497)),ISNUMBER(SEARCH("Cayo Santa María",C497)),ISNUMBER(SEARCH("Cayo Santa Maria",C497)),ISNUMBER(SEARCH("Cayo Guillermo",C497)),ISNUMBER(SEARCH("Cayo Las Brujas",C497)),ISNUMBER(SEARCH("Cayo Ensenachos",C497)),ISNUMBER(SEARCH("Holguín",C497)),ISNUMBER(SEARCH("Holguin",C497)),ISNUMBER(SEARCH("Havana",C497)),ISNUMBER(SEARCH("Old Havana",C497)),ISNUMBER(SEARCH("Vedado",C497)),ISNUMBER(SEARCH("Miramar",C497))),NOT(ISNUMBER(SEARCH("historical",F497)))),"P497",IF(OR(ISNUMBER(SEARCH("historical",F497)),H497="Low",ISNUMBER(SEARCH("to verify",F497)),ISNUMBER(SEARCH("requires verification",F497))),"Backlog","P498")))))</f>
        <v/>
      </c>
    </row>
    <row r="498" ht="15.75" customHeight="1">
      <c r="H498" s="13"/>
      <c r="L498" s="13" t="str">
        <f>IF(A498="","",IF(OR(COUNTIF('Priority Rules'!$A$2:$A$24,A498)&gt;0,COUNTIF('Priority Rules'!$B$2:$B$8,B498)&gt;0),"P497",IF(COUNTIF('Priority Rules'!$C$2:$C$9,A498)&gt;0,"P498",IF(AND(OR(ISNUMBER(SEARCH("Varadero",C498)),ISNUMBER(SEARCH("Cayo Coco",C498)),ISNUMBER(SEARCH("Cayo Santa María",C498)),ISNUMBER(SEARCH("Cayo Santa Maria",C498)),ISNUMBER(SEARCH("Cayo Guillermo",C498)),ISNUMBER(SEARCH("Cayo Las Brujas",C498)),ISNUMBER(SEARCH("Cayo Ensenachos",C498)),ISNUMBER(SEARCH("Holguín",C498)),ISNUMBER(SEARCH("Holguin",C498)),ISNUMBER(SEARCH("Havana",C498)),ISNUMBER(SEARCH("Old Havana",C498)),ISNUMBER(SEARCH("Vedado",C498)),ISNUMBER(SEARCH("Miramar",C498))),NOT(ISNUMBER(SEARCH("historical",F498)))),"P498",IF(OR(ISNUMBER(SEARCH("historical",F498)),H498="Low",ISNUMBER(SEARCH("to verify",F498)),ISNUMBER(SEARCH("requires verification",F498))),"Backlog","P499")))))</f>
        <v/>
      </c>
    </row>
    <row r="499" ht="15.75" customHeight="1">
      <c r="H499" s="13"/>
      <c r="L499" s="13" t="str">
        <f>IF(A499="","",IF(OR(COUNTIF('Priority Rules'!$A$2:$A$24,A499)&gt;0,COUNTIF('Priority Rules'!$B$2:$B$8,B499)&gt;0),"P498",IF(COUNTIF('Priority Rules'!$C$2:$C$9,A499)&gt;0,"P499",IF(AND(OR(ISNUMBER(SEARCH("Varadero",C499)),ISNUMBER(SEARCH("Cayo Coco",C499)),ISNUMBER(SEARCH("Cayo Santa María",C499)),ISNUMBER(SEARCH("Cayo Santa Maria",C499)),ISNUMBER(SEARCH("Cayo Guillermo",C499)),ISNUMBER(SEARCH("Cayo Las Brujas",C499)),ISNUMBER(SEARCH("Cayo Ensenachos",C499)),ISNUMBER(SEARCH("Holguín",C499)),ISNUMBER(SEARCH("Holguin",C499)),ISNUMBER(SEARCH("Havana",C499)),ISNUMBER(SEARCH("Old Havana",C499)),ISNUMBER(SEARCH("Vedado",C499)),ISNUMBER(SEARCH("Miramar",C499))),NOT(ISNUMBER(SEARCH("historical",F499)))),"P499",IF(OR(ISNUMBER(SEARCH("historical",F499)),H499="Low",ISNUMBER(SEARCH("to verify",F499)),ISNUMBER(SEARCH("requires verification",F499))),"Backlog","P500")))))</f>
        <v/>
      </c>
    </row>
    <row r="500" ht="15.75" customHeight="1">
      <c r="H500" s="13"/>
      <c r="L500" s="13" t="str">
        <f>IF(A500="","",IF(OR(COUNTIF('Priority Rules'!$A$2:$A$24,A500)&gt;0,COUNTIF('Priority Rules'!$B$2:$B$8,B500)&gt;0),"P499",IF(COUNTIF('Priority Rules'!$C$2:$C$9,A500)&gt;0,"P500",IF(AND(OR(ISNUMBER(SEARCH("Varadero",C500)),ISNUMBER(SEARCH("Cayo Coco",C500)),ISNUMBER(SEARCH("Cayo Santa María",C500)),ISNUMBER(SEARCH("Cayo Santa Maria",C500)),ISNUMBER(SEARCH("Cayo Guillermo",C500)),ISNUMBER(SEARCH("Cayo Las Brujas",C500)),ISNUMBER(SEARCH("Cayo Ensenachos",C500)),ISNUMBER(SEARCH("Holguín",C500)),ISNUMBER(SEARCH("Holguin",C500)),ISNUMBER(SEARCH("Havana",C500)),ISNUMBER(SEARCH("Old Havana",C500)),ISNUMBER(SEARCH("Vedado",C500)),ISNUMBER(SEARCH("Miramar",C500))),NOT(ISNUMBER(SEARCH("historical",F500)))),"P500",IF(OR(ISNUMBER(SEARCH("historical",F500)),H500="Low",ISNUMBER(SEARCH("to verify",F500)),ISNUMBER(SEARCH("requires verification",F500))),"Backlog","P501")))))</f>
        <v/>
      </c>
    </row>
    <row r="501" ht="15.75" customHeight="1">
      <c r="H501" s="13"/>
      <c r="L501" s="13"/>
    </row>
    <row r="502" ht="15.75" customHeight="1">
      <c r="H502" s="13"/>
      <c r="L502" s="13"/>
    </row>
    <row r="503" ht="15.75" customHeight="1">
      <c r="H503" s="13"/>
      <c r="L503" s="13"/>
    </row>
    <row r="504" ht="15.75" customHeight="1">
      <c r="H504" s="13"/>
      <c r="L504" s="13"/>
    </row>
    <row r="505" ht="15.75" customHeight="1">
      <c r="H505" s="13"/>
      <c r="L505" s="13"/>
    </row>
    <row r="506" ht="15.75" customHeight="1">
      <c r="H506" s="13"/>
      <c r="L506" s="13"/>
    </row>
    <row r="507" ht="15.75" customHeight="1">
      <c r="H507" s="13"/>
      <c r="L507" s="13"/>
    </row>
    <row r="508" ht="15.75" customHeight="1">
      <c r="H508" s="13"/>
      <c r="L508" s="13"/>
    </row>
    <row r="509" ht="15.75" customHeight="1">
      <c r="H509" s="13"/>
      <c r="L509" s="13"/>
    </row>
    <row r="510" ht="15.75" customHeight="1">
      <c r="H510" s="13"/>
      <c r="L510" s="13"/>
    </row>
    <row r="511" ht="15.75" customHeight="1">
      <c r="H511" s="13"/>
      <c r="L511" s="13"/>
    </row>
    <row r="512" ht="15.75" customHeight="1">
      <c r="H512" s="13"/>
      <c r="L512" s="13"/>
    </row>
    <row r="513" ht="15.75" customHeight="1">
      <c r="H513" s="13"/>
      <c r="L513" s="13"/>
    </row>
    <row r="514" ht="15.75" customHeight="1">
      <c r="H514" s="13"/>
      <c r="L514" s="13"/>
    </row>
    <row r="515" ht="15.75" customHeight="1">
      <c r="H515" s="13"/>
      <c r="L515" s="13"/>
    </row>
    <row r="516" ht="15.75" customHeight="1">
      <c r="H516" s="13"/>
      <c r="L516" s="13"/>
    </row>
    <row r="517" ht="15.75" customHeight="1">
      <c r="H517" s="13"/>
      <c r="L517" s="13"/>
    </row>
    <row r="518" ht="15.75" customHeight="1">
      <c r="H518" s="13"/>
      <c r="L518" s="13"/>
    </row>
    <row r="519" ht="15.75" customHeight="1">
      <c r="H519" s="13"/>
      <c r="L519" s="13"/>
    </row>
    <row r="520" ht="15.75" customHeight="1">
      <c r="H520" s="13"/>
      <c r="L520" s="13"/>
    </row>
    <row r="521" ht="15.75" customHeight="1">
      <c r="H521" s="13"/>
      <c r="L521" s="13"/>
    </row>
    <row r="522" ht="15.75" customHeight="1">
      <c r="H522" s="13"/>
      <c r="L522" s="13"/>
    </row>
    <row r="523" ht="15.75" customHeight="1">
      <c r="H523" s="13"/>
      <c r="L523" s="13"/>
    </row>
    <row r="524" ht="15.75" customHeight="1">
      <c r="H524" s="13"/>
      <c r="L524" s="13"/>
    </row>
    <row r="525" ht="15.75" customHeight="1">
      <c r="H525" s="13"/>
      <c r="L525" s="13"/>
    </row>
    <row r="526" ht="15.75" customHeight="1">
      <c r="H526" s="13"/>
      <c r="L526" s="13"/>
    </row>
    <row r="527" ht="15.75" customHeight="1">
      <c r="H527" s="13"/>
      <c r="L527" s="13"/>
    </row>
    <row r="528" ht="15.75" customHeight="1">
      <c r="H528" s="13"/>
      <c r="L528" s="13"/>
    </row>
    <row r="529" ht="15.75" customHeight="1">
      <c r="H529" s="13"/>
      <c r="L529" s="13"/>
    </row>
    <row r="530" ht="15.75" customHeight="1">
      <c r="H530" s="13"/>
      <c r="L530" s="13"/>
    </row>
    <row r="531" ht="15.75" customHeight="1">
      <c r="H531" s="13"/>
      <c r="L531" s="13"/>
    </row>
    <row r="532" ht="15.75" customHeight="1">
      <c r="H532" s="13"/>
      <c r="L532" s="13"/>
    </row>
    <row r="533" ht="15.75" customHeight="1">
      <c r="H533" s="13"/>
      <c r="L533" s="13"/>
    </row>
    <row r="534" ht="15.75" customHeight="1">
      <c r="H534" s="13"/>
      <c r="L534" s="13"/>
    </row>
    <row r="535" ht="15.75" customHeight="1">
      <c r="H535" s="13"/>
      <c r="L535" s="13"/>
    </row>
    <row r="536" ht="15.75" customHeight="1">
      <c r="H536" s="13"/>
      <c r="L536" s="13"/>
    </row>
    <row r="537" ht="15.75" customHeight="1">
      <c r="H537" s="13"/>
      <c r="L537" s="13"/>
    </row>
    <row r="538" ht="15.75" customHeight="1">
      <c r="H538" s="13"/>
      <c r="L538" s="13"/>
    </row>
    <row r="539" ht="15.75" customHeight="1">
      <c r="H539" s="13"/>
      <c r="L539" s="13"/>
    </row>
    <row r="540" ht="15.75" customHeight="1">
      <c r="H540" s="13"/>
      <c r="L540" s="13"/>
    </row>
    <row r="541" ht="15.75" customHeight="1">
      <c r="H541" s="13"/>
      <c r="L541" s="13"/>
    </row>
    <row r="542" ht="15.75" customHeight="1">
      <c r="H542" s="13"/>
      <c r="L542" s="13"/>
    </row>
    <row r="543" ht="15.75" customHeight="1">
      <c r="H543" s="13"/>
      <c r="L543" s="13"/>
    </row>
    <row r="544" ht="15.75" customHeight="1">
      <c r="H544" s="13"/>
      <c r="L544" s="13"/>
    </row>
    <row r="545" ht="15.75" customHeight="1">
      <c r="H545" s="13"/>
      <c r="L545" s="13"/>
    </row>
    <row r="546" ht="15.75" customHeight="1">
      <c r="H546" s="13"/>
      <c r="L546" s="13"/>
    </row>
    <row r="547" ht="15.75" customHeight="1">
      <c r="H547" s="13"/>
      <c r="L547" s="13"/>
    </row>
    <row r="548" ht="15.75" customHeight="1">
      <c r="H548" s="13"/>
      <c r="L548" s="13"/>
    </row>
    <row r="549" ht="15.75" customHeight="1">
      <c r="H549" s="13"/>
      <c r="L549" s="13"/>
    </row>
    <row r="550" ht="15.75" customHeight="1">
      <c r="H550" s="13"/>
      <c r="L550" s="13"/>
    </row>
    <row r="551" ht="15.75" customHeight="1">
      <c r="H551" s="13"/>
      <c r="L551" s="13"/>
    </row>
    <row r="552" ht="15.75" customHeight="1">
      <c r="H552" s="13"/>
      <c r="L552" s="13"/>
    </row>
    <row r="553" ht="15.75" customHeight="1">
      <c r="H553" s="13"/>
      <c r="L553" s="13"/>
    </row>
    <row r="554" ht="15.75" customHeight="1">
      <c r="H554" s="13"/>
      <c r="L554" s="13"/>
    </row>
    <row r="555" ht="15.75" customHeight="1">
      <c r="H555" s="13"/>
      <c r="L555" s="13"/>
    </row>
    <row r="556" ht="15.75" customHeight="1">
      <c r="H556" s="13"/>
      <c r="L556" s="13"/>
    </row>
    <row r="557" ht="15.75" customHeight="1">
      <c r="H557" s="13"/>
      <c r="L557" s="13"/>
    </row>
    <row r="558" ht="15.75" customHeight="1">
      <c r="H558" s="13"/>
      <c r="L558" s="13"/>
    </row>
    <row r="559" ht="15.75" customHeight="1">
      <c r="H559" s="13"/>
      <c r="L559" s="13"/>
    </row>
    <row r="560" ht="15.75" customHeight="1">
      <c r="H560" s="13"/>
      <c r="L560" s="13"/>
    </row>
    <row r="561" ht="15.75" customHeight="1">
      <c r="H561" s="13"/>
      <c r="L561" s="13"/>
    </row>
    <row r="562" ht="15.75" customHeight="1">
      <c r="H562" s="13"/>
      <c r="L562" s="13"/>
    </row>
    <row r="563" ht="15.75" customHeight="1">
      <c r="H563" s="13"/>
      <c r="L563" s="13"/>
    </row>
    <row r="564" ht="15.75" customHeight="1">
      <c r="H564" s="13"/>
      <c r="L564" s="13"/>
    </row>
    <row r="565" ht="15.75" customHeight="1">
      <c r="H565" s="13"/>
      <c r="L565" s="13"/>
    </row>
    <row r="566" ht="15.75" customHeight="1">
      <c r="H566" s="13"/>
      <c r="L566" s="13"/>
    </row>
    <row r="567" ht="15.75" customHeight="1">
      <c r="H567" s="13"/>
      <c r="L567" s="13"/>
    </row>
    <row r="568" ht="15.75" customHeight="1">
      <c r="H568" s="13"/>
      <c r="L568" s="13"/>
    </row>
    <row r="569" ht="15.75" customHeight="1">
      <c r="H569" s="13"/>
      <c r="L569" s="13"/>
    </row>
    <row r="570" ht="15.75" customHeight="1">
      <c r="H570" s="13"/>
      <c r="L570" s="13"/>
    </row>
    <row r="571" ht="15.75" customHeight="1">
      <c r="H571" s="13"/>
      <c r="L571" s="13"/>
    </row>
    <row r="572" ht="15.75" customHeight="1">
      <c r="H572" s="13"/>
      <c r="L572" s="13"/>
    </row>
    <row r="573" ht="15.75" customHeight="1">
      <c r="H573" s="13"/>
      <c r="L573" s="13"/>
    </row>
    <row r="574" ht="15.75" customHeight="1">
      <c r="H574" s="13"/>
      <c r="L574" s="13"/>
    </row>
    <row r="575" ht="15.75" customHeight="1">
      <c r="H575" s="13"/>
      <c r="L575" s="13"/>
    </row>
    <row r="576" ht="15.75" customHeight="1">
      <c r="H576" s="13"/>
      <c r="L576" s="13"/>
    </row>
    <row r="577" ht="15.75" customHeight="1">
      <c r="H577" s="13"/>
      <c r="L577" s="13"/>
    </row>
    <row r="578" ht="15.75" customHeight="1">
      <c r="H578" s="13"/>
      <c r="L578" s="13"/>
    </row>
    <row r="579" ht="15.75" customHeight="1">
      <c r="H579" s="13"/>
      <c r="L579" s="13"/>
    </row>
    <row r="580" ht="15.75" customHeight="1">
      <c r="H580" s="13"/>
      <c r="L580" s="13"/>
    </row>
    <row r="581" ht="15.75" customHeight="1">
      <c r="H581" s="13"/>
      <c r="L581" s="13"/>
    </row>
    <row r="582" ht="15.75" customHeight="1">
      <c r="H582" s="13"/>
      <c r="L582" s="13"/>
    </row>
    <row r="583" ht="15.75" customHeight="1">
      <c r="H583" s="13"/>
      <c r="L583" s="13"/>
    </row>
    <row r="584" ht="15.75" customHeight="1">
      <c r="H584" s="13"/>
      <c r="L584" s="13"/>
    </row>
    <row r="585" ht="15.75" customHeight="1">
      <c r="H585" s="13"/>
      <c r="L585" s="13"/>
    </row>
    <row r="586" ht="15.75" customHeight="1">
      <c r="H586" s="13"/>
      <c r="L586" s="13"/>
    </row>
    <row r="587" ht="15.75" customHeight="1">
      <c r="H587" s="13"/>
      <c r="L587" s="13"/>
    </row>
    <row r="588" ht="15.75" customHeight="1">
      <c r="H588" s="13"/>
      <c r="L588" s="13"/>
    </row>
    <row r="589" ht="15.75" customHeight="1">
      <c r="H589" s="13"/>
      <c r="L589" s="13"/>
    </row>
    <row r="590" ht="15.75" customHeight="1">
      <c r="H590" s="13"/>
      <c r="L590" s="13"/>
    </row>
    <row r="591" ht="15.75" customHeight="1">
      <c r="H591" s="13"/>
      <c r="L591" s="13"/>
    </row>
    <row r="592" ht="15.75" customHeight="1">
      <c r="H592" s="13"/>
      <c r="L592" s="13"/>
    </row>
    <row r="593" ht="15.75" customHeight="1">
      <c r="H593" s="13"/>
      <c r="L593" s="13"/>
    </row>
    <row r="594" ht="15.75" customHeight="1">
      <c r="H594" s="13"/>
      <c r="L594" s="13"/>
    </row>
    <row r="595" ht="15.75" customHeight="1">
      <c r="H595" s="13"/>
      <c r="L595" s="13"/>
    </row>
    <row r="596" ht="15.75" customHeight="1">
      <c r="H596" s="13"/>
      <c r="L596" s="13"/>
    </row>
    <row r="597" ht="15.75" customHeight="1">
      <c r="H597" s="13"/>
      <c r="L597" s="13"/>
    </row>
    <row r="598" ht="15.75" customHeight="1">
      <c r="H598" s="13"/>
      <c r="L598" s="13"/>
    </row>
    <row r="599" ht="15.75" customHeight="1">
      <c r="H599" s="13"/>
      <c r="L599" s="13"/>
    </row>
    <row r="600" ht="15.75" customHeight="1">
      <c r="H600" s="13"/>
      <c r="L600" s="13"/>
    </row>
    <row r="601" ht="15.75" customHeight="1">
      <c r="H601" s="13"/>
      <c r="L601" s="13"/>
    </row>
    <row r="602" ht="15.75" customHeight="1">
      <c r="H602" s="13"/>
      <c r="L602" s="13"/>
    </row>
    <row r="603" ht="15.75" customHeight="1">
      <c r="H603" s="13"/>
      <c r="L603" s="13"/>
    </row>
    <row r="604" ht="15.75" customHeight="1">
      <c r="H604" s="13"/>
      <c r="L604" s="13"/>
    </row>
    <row r="605" ht="15.75" customHeight="1">
      <c r="H605" s="13"/>
      <c r="L605" s="13"/>
    </row>
    <row r="606" ht="15.75" customHeight="1">
      <c r="H606" s="13"/>
      <c r="L606" s="13"/>
    </row>
    <row r="607" ht="15.75" customHeight="1">
      <c r="H607" s="13"/>
      <c r="L607" s="13"/>
    </row>
    <row r="608" ht="15.75" customHeight="1">
      <c r="H608" s="13"/>
      <c r="L608" s="13"/>
    </row>
    <row r="609" ht="15.75" customHeight="1">
      <c r="H609" s="13"/>
      <c r="L609" s="13"/>
    </row>
    <row r="610" ht="15.75" customHeight="1">
      <c r="H610" s="13"/>
      <c r="L610" s="13"/>
    </row>
    <row r="611" ht="15.75" customHeight="1">
      <c r="H611" s="13"/>
      <c r="L611" s="13"/>
    </row>
    <row r="612" ht="15.75" customHeight="1">
      <c r="H612" s="13"/>
      <c r="L612" s="13"/>
    </row>
    <row r="613" ht="15.75" customHeight="1">
      <c r="H613" s="13"/>
      <c r="L613" s="13"/>
    </row>
    <row r="614" ht="15.75" customHeight="1">
      <c r="H614" s="13"/>
      <c r="L614" s="13"/>
    </row>
    <row r="615" ht="15.75" customHeight="1">
      <c r="H615" s="13"/>
      <c r="L615" s="13"/>
    </row>
    <row r="616" ht="15.75" customHeight="1">
      <c r="H616" s="13"/>
      <c r="L616" s="13"/>
    </row>
    <row r="617" ht="15.75" customHeight="1">
      <c r="H617" s="13"/>
      <c r="L617" s="13"/>
    </row>
    <row r="618" ht="15.75" customHeight="1">
      <c r="H618" s="13"/>
      <c r="L618" s="13"/>
    </row>
    <row r="619" ht="15.75" customHeight="1">
      <c r="H619" s="13"/>
      <c r="L619" s="13"/>
    </row>
    <row r="620" ht="15.75" customHeight="1">
      <c r="H620" s="13"/>
      <c r="L620" s="13"/>
    </row>
    <row r="621" ht="15.75" customHeight="1">
      <c r="H621" s="13"/>
      <c r="L621" s="13"/>
    </row>
    <row r="622" ht="15.75" customHeight="1">
      <c r="H622" s="13"/>
      <c r="L622" s="13"/>
    </row>
    <row r="623" ht="15.75" customHeight="1">
      <c r="H623" s="13"/>
      <c r="L623" s="13"/>
    </row>
    <row r="624" ht="15.75" customHeight="1">
      <c r="H624" s="13"/>
      <c r="L624" s="13"/>
    </row>
    <row r="625" ht="15.75" customHeight="1">
      <c r="H625" s="13"/>
      <c r="L625" s="13"/>
    </row>
    <row r="626" ht="15.75" customHeight="1">
      <c r="H626" s="13"/>
      <c r="L626" s="13"/>
    </row>
    <row r="627" ht="15.75" customHeight="1">
      <c r="H627" s="13"/>
      <c r="L627" s="13"/>
    </row>
    <row r="628" ht="15.75" customHeight="1">
      <c r="H628" s="13"/>
      <c r="L628" s="13"/>
    </row>
    <row r="629" ht="15.75" customHeight="1">
      <c r="H629" s="13"/>
      <c r="L629" s="13"/>
    </row>
    <row r="630" ht="15.75" customHeight="1">
      <c r="H630" s="13"/>
      <c r="L630" s="13"/>
    </row>
    <row r="631" ht="15.75" customHeight="1">
      <c r="H631" s="13"/>
      <c r="L631" s="13"/>
    </row>
    <row r="632" ht="15.75" customHeight="1">
      <c r="H632" s="13"/>
      <c r="L632" s="13"/>
    </row>
    <row r="633" ht="15.75" customHeight="1">
      <c r="H633" s="13"/>
      <c r="L633" s="13"/>
    </row>
    <row r="634" ht="15.75" customHeight="1">
      <c r="H634" s="13"/>
      <c r="L634" s="13"/>
    </row>
    <row r="635" ht="15.75" customHeight="1">
      <c r="H635" s="13"/>
      <c r="L635" s="13"/>
    </row>
    <row r="636" ht="15.75" customHeight="1">
      <c r="H636" s="13"/>
      <c r="L636" s="13"/>
    </row>
    <row r="637" ht="15.75" customHeight="1">
      <c r="H637" s="13"/>
      <c r="L637" s="13"/>
    </row>
    <row r="638" ht="15.75" customHeight="1">
      <c r="H638" s="13"/>
      <c r="L638" s="13"/>
    </row>
    <row r="639" ht="15.75" customHeight="1">
      <c r="H639" s="13"/>
      <c r="L639" s="13"/>
    </row>
    <row r="640" ht="15.75" customHeight="1">
      <c r="H640" s="13"/>
      <c r="L640" s="13"/>
    </row>
    <row r="641" ht="15.75" customHeight="1">
      <c r="H641" s="13"/>
      <c r="L641" s="13"/>
    </row>
    <row r="642" ht="15.75" customHeight="1">
      <c r="H642" s="13"/>
      <c r="L642" s="13"/>
    </row>
    <row r="643" ht="15.75" customHeight="1">
      <c r="H643" s="13"/>
      <c r="L643" s="13"/>
    </row>
    <row r="644" ht="15.75" customHeight="1">
      <c r="H644" s="13"/>
      <c r="L644" s="13"/>
    </row>
    <row r="645" ht="15.75" customHeight="1">
      <c r="H645" s="13"/>
      <c r="L645" s="13"/>
    </row>
    <row r="646" ht="15.75" customHeight="1">
      <c r="H646" s="13"/>
      <c r="L646" s="13"/>
    </row>
    <row r="647" ht="15.75" customHeight="1">
      <c r="H647" s="13"/>
      <c r="L647" s="13"/>
    </row>
    <row r="648" ht="15.75" customHeight="1">
      <c r="H648" s="13"/>
      <c r="L648" s="13"/>
    </row>
    <row r="649" ht="15.75" customHeight="1">
      <c r="H649" s="13"/>
      <c r="L649" s="13"/>
    </row>
    <row r="650" ht="15.75" customHeight="1">
      <c r="H650" s="13"/>
      <c r="L650" s="13"/>
    </row>
    <row r="651" ht="15.75" customHeight="1">
      <c r="H651" s="13"/>
      <c r="L651" s="13"/>
    </row>
    <row r="652" ht="15.75" customHeight="1">
      <c r="H652" s="13"/>
      <c r="L652" s="13"/>
    </row>
    <row r="653" ht="15.75" customHeight="1">
      <c r="H653" s="13"/>
      <c r="L653" s="13"/>
    </row>
    <row r="654" ht="15.75" customHeight="1">
      <c r="H654" s="13"/>
      <c r="L654" s="13"/>
    </row>
    <row r="655" ht="15.75" customHeight="1">
      <c r="H655" s="13"/>
      <c r="L655" s="13"/>
    </row>
    <row r="656" ht="15.75" customHeight="1">
      <c r="H656" s="13"/>
      <c r="L656" s="13"/>
    </row>
    <row r="657" ht="15.75" customHeight="1">
      <c r="H657" s="13"/>
      <c r="L657" s="13"/>
    </row>
    <row r="658" ht="15.75" customHeight="1">
      <c r="H658" s="13"/>
      <c r="L658" s="13"/>
    </row>
    <row r="659" ht="15.75" customHeight="1">
      <c r="H659" s="13"/>
      <c r="L659" s="13"/>
    </row>
    <row r="660" ht="15.75" customHeight="1">
      <c r="H660" s="13"/>
      <c r="L660" s="13"/>
    </row>
    <row r="661" ht="15.75" customHeight="1">
      <c r="H661" s="13"/>
      <c r="L661" s="13"/>
    </row>
    <row r="662" ht="15.75" customHeight="1">
      <c r="H662" s="13"/>
      <c r="L662" s="13"/>
    </row>
    <row r="663" ht="15.75" customHeight="1">
      <c r="H663" s="13"/>
      <c r="L663" s="13"/>
    </row>
    <row r="664" ht="15.75" customHeight="1">
      <c r="H664" s="13"/>
      <c r="L664" s="13"/>
    </row>
    <row r="665" ht="15.75" customHeight="1">
      <c r="H665" s="13"/>
      <c r="L665" s="13"/>
    </row>
    <row r="666" ht="15.75" customHeight="1">
      <c r="H666" s="13"/>
      <c r="L666" s="13"/>
    </row>
    <row r="667" ht="15.75" customHeight="1">
      <c r="H667" s="13"/>
      <c r="L667" s="13"/>
    </row>
    <row r="668" ht="15.75" customHeight="1">
      <c r="H668" s="13"/>
      <c r="L668" s="13"/>
    </row>
    <row r="669" ht="15.75" customHeight="1">
      <c r="H669" s="13"/>
      <c r="L669" s="13"/>
    </row>
    <row r="670" ht="15.75" customHeight="1">
      <c r="H670" s="13"/>
      <c r="L670" s="13"/>
    </row>
    <row r="671" ht="15.75" customHeight="1">
      <c r="H671" s="13"/>
      <c r="L671" s="13"/>
    </row>
    <row r="672" ht="15.75" customHeight="1">
      <c r="H672" s="13"/>
      <c r="L672" s="13"/>
    </row>
    <row r="673" ht="15.75" customHeight="1">
      <c r="H673" s="13"/>
      <c r="L673" s="13"/>
    </row>
    <row r="674" ht="15.75" customHeight="1">
      <c r="H674" s="13"/>
      <c r="L674" s="13"/>
    </row>
    <row r="675" ht="15.75" customHeight="1">
      <c r="H675" s="13"/>
      <c r="L675" s="13"/>
    </row>
    <row r="676" ht="15.75" customHeight="1">
      <c r="H676" s="13"/>
      <c r="L676" s="13"/>
    </row>
    <row r="677" ht="15.75" customHeight="1">
      <c r="H677" s="13"/>
      <c r="L677" s="13"/>
    </row>
    <row r="678" ht="15.75" customHeight="1">
      <c r="H678" s="13"/>
      <c r="L678" s="13"/>
    </row>
    <row r="679" ht="15.75" customHeight="1">
      <c r="H679" s="13"/>
      <c r="L679" s="13"/>
    </row>
    <row r="680" ht="15.75" customHeight="1">
      <c r="H680" s="13"/>
      <c r="L680" s="13"/>
    </row>
    <row r="681" ht="15.75" customHeight="1">
      <c r="H681" s="13"/>
      <c r="L681" s="13"/>
    </row>
    <row r="682" ht="15.75" customHeight="1">
      <c r="H682" s="13"/>
      <c r="L682" s="13"/>
    </row>
    <row r="683" ht="15.75" customHeight="1">
      <c r="H683" s="13"/>
      <c r="L683" s="13"/>
    </row>
    <row r="684" ht="15.75" customHeight="1">
      <c r="H684" s="13"/>
      <c r="L684" s="13"/>
    </row>
    <row r="685" ht="15.75" customHeight="1">
      <c r="H685" s="13"/>
      <c r="L685" s="13"/>
    </row>
    <row r="686" ht="15.75" customHeight="1">
      <c r="H686" s="13"/>
      <c r="L686" s="13"/>
    </row>
    <row r="687" ht="15.75" customHeight="1">
      <c r="H687" s="13"/>
      <c r="L687" s="13"/>
    </row>
    <row r="688" ht="15.75" customHeight="1">
      <c r="H688" s="13"/>
      <c r="L688" s="13"/>
    </row>
    <row r="689" ht="15.75" customHeight="1">
      <c r="H689" s="13"/>
      <c r="L689" s="13"/>
    </row>
    <row r="690" ht="15.75" customHeight="1">
      <c r="H690" s="13"/>
      <c r="L690" s="13"/>
    </row>
    <row r="691" ht="15.75" customHeight="1">
      <c r="H691" s="13"/>
      <c r="L691" s="13"/>
    </row>
    <row r="692" ht="15.75" customHeight="1">
      <c r="H692" s="13"/>
      <c r="L692" s="13"/>
    </row>
    <row r="693" ht="15.75" customHeight="1">
      <c r="H693" s="13"/>
      <c r="L693" s="13"/>
    </row>
    <row r="694" ht="15.75" customHeight="1">
      <c r="H694" s="13"/>
      <c r="L694" s="13"/>
    </row>
    <row r="695" ht="15.75" customHeight="1">
      <c r="H695" s="13"/>
      <c r="L695" s="13"/>
    </row>
    <row r="696" ht="15.75" customHeight="1">
      <c r="H696" s="13"/>
      <c r="L696" s="13"/>
    </row>
    <row r="697" ht="15.75" customHeight="1">
      <c r="H697" s="13"/>
      <c r="L697" s="13"/>
    </row>
    <row r="698" ht="15.75" customHeight="1">
      <c r="H698" s="13"/>
      <c r="L698" s="13"/>
    </row>
    <row r="699" ht="15.75" customHeight="1">
      <c r="H699" s="13"/>
      <c r="L699" s="13"/>
    </row>
    <row r="700" ht="15.75" customHeight="1">
      <c r="H700" s="13"/>
      <c r="L700" s="13"/>
    </row>
    <row r="701" ht="15.75" customHeight="1">
      <c r="H701" s="13"/>
      <c r="L701" s="13"/>
    </row>
    <row r="702" ht="15.75" customHeight="1">
      <c r="H702" s="13"/>
      <c r="L702" s="13"/>
    </row>
    <row r="703" ht="15.75" customHeight="1">
      <c r="H703" s="13"/>
      <c r="L703" s="13"/>
    </row>
    <row r="704" ht="15.75" customHeight="1">
      <c r="H704" s="13"/>
      <c r="L704" s="13"/>
    </row>
    <row r="705" ht="15.75" customHeight="1">
      <c r="H705" s="13"/>
      <c r="L705" s="13"/>
    </row>
    <row r="706" ht="15.75" customHeight="1">
      <c r="H706" s="13"/>
      <c r="L706" s="13"/>
    </row>
    <row r="707" ht="15.75" customHeight="1">
      <c r="H707" s="13"/>
      <c r="L707" s="13"/>
    </row>
    <row r="708" ht="15.75" customHeight="1">
      <c r="H708" s="13"/>
      <c r="L708" s="13"/>
    </row>
    <row r="709" ht="15.75" customHeight="1">
      <c r="H709" s="13"/>
      <c r="L709" s="13"/>
    </row>
    <row r="710" ht="15.75" customHeight="1">
      <c r="H710" s="13"/>
      <c r="L710" s="13"/>
    </row>
    <row r="711" ht="15.75" customHeight="1">
      <c r="H711" s="13"/>
      <c r="L711" s="13"/>
    </row>
    <row r="712" ht="15.75" customHeight="1">
      <c r="H712" s="13"/>
      <c r="L712" s="13"/>
    </row>
    <row r="713" ht="15.75" customHeight="1">
      <c r="H713" s="13"/>
      <c r="L713" s="13"/>
    </row>
    <row r="714" ht="15.75" customHeight="1">
      <c r="H714" s="13"/>
      <c r="L714" s="13"/>
    </row>
    <row r="715" ht="15.75" customHeight="1">
      <c r="H715" s="13"/>
      <c r="L715" s="13"/>
    </row>
    <row r="716" ht="15.75" customHeight="1">
      <c r="H716" s="13"/>
      <c r="L716" s="13"/>
    </row>
    <row r="717" ht="15.75" customHeight="1">
      <c r="H717" s="13"/>
      <c r="L717" s="13"/>
    </row>
    <row r="718" ht="15.75" customHeight="1">
      <c r="H718" s="13"/>
      <c r="L718" s="13"/>
    </row>
    <row r="719" ht="15.75" customHeight="1">
      <c r="H719" s="13"/>
      <c r="L719" s="13"/>
    </row>
    <row r="720" ht="15.75" customHeight="1">
      <c r="H720" s="13"/>
      <c r="L720" s="13"/>
    </row>
    <row r="721" ht="15.75" customHeight="1">
      <c r="H721" s="13"/>
      <c r="L721" s="13"/>
    </row>
    <row r="722" ht="15.75" customHeight="1">
      <c r="H722" s="13"/>
      <c r="L722" s="13"/>
    </row>
    <row r="723" ht="15.75" customHeight="1">
      <c r="H723" s="13"/>
      <c r="L723" s="13"/>
    </row>
    <row r="724" ht="15.75" customHeight="1">
      <c r="H724" s="13"/>
      <c r="L724" s="13"/>
    </row>
    <row r="725" ht="15.75" customHeight="1">
      <c r="H725" s="13"/>
      <c r="L725" s="13"/>
    </row>
    <row r="726" ht="15.75" customHeight="1">
      <c r="H726" s="13"/>
      <c r="L726" s="13"/>
    </row>
    <row r="727" ht="15.75" customHeight="1">
      <c r="H727" s="13"/>
      <c r="L727" s="13"/>
    </row>
    <row r="728" ht="15.75" customHeight="1">
      <c r="H728" s="13"/>
      <c r="L728" s="13"/>
    </row>
    <row r="729" ht="15.75" customHeight="1">
      <c r="H729" s="13"/>
      <c r="L729" s="13"/>
    </row>
    <row r="730" ht="15.75" customHeight="1">
      <c r="H730" s="13"/>
      <c r="L730" s="13"/>
    </row>
    <row r="731" ht="15.75" customHeight="1">
      <c r="H731" s="13"/>
      <c r="L731" s="13"/>
    </row>
    <row r="732" ht="15.75" customHeight="1">
      <c r="H732" s="13"/>
      <c r="L732" s="13"/>
    </row>
    <row r="733" ht="15.75" customHeight="1">
      <c r="H733" s="13"/>
      <c r="L733" s="13"/>
    </row>
    <row r="734" ht="15.75" customHeight="1">
      <c r="H734" s="13"/>
      <c r="L734" s="13"/>
    </row>
    <row r="735" ht="15.75" customHeight="1">
      <c r="H735" s="13"/>
      <c r="L735" s="13"/>
    </row>
    <row r="736" ht="15.75" customHeight="1">
      <c r="H736" s="13"/>
      <c r="L736" s="13"/>
    </row>
    <row r="737" ht="15.75" customHeight="1">
      <c r="H737" s="13"/>
      <c r="L737" s="13"/>
    </row>
    <row r="738" ht="15.75" customHeight="1">
      <c r="H738" s="13"/>
      <c r="L738" s="13"/>
    </row>
    <row r="739" ht="15.75" customHeight="1">
      <c r="H739" s="13"/>
      <c r="L739" s="13"/>
    </row>
    <row r="740" ht="15.75" customHeight="1">
      <c r="H740" s="13"/>
      <c r="L740" s="13"/>
    </row>
    <row r="741" ht="15.75" customHeight="1">
      <c r="H741" s="13"/>
      <c r="L741" s="13"/>
    </row>
    <row r="742" ht="15.75" customHeight="1">
      <c r="H742" s="13"/>
      <c r="L742" s="13"/>
    </row>
    <row r="743" ht="15.75" customHeight="1">
      <c r="H743" s="13"/>
      <c r="L743" s="13"/>
    </row>
    <row r="744" ht="15.75" customHeight="1">
      <c r="H744" s="13"/>
      <c r="L744" s="13"/>
    </row>
    <row r="745" ht="15.75" customHeight="1">
      <c r="H745" s="13"/>
      <c r="L745" s="13"/>
    </row>
    <row r="746" ht="15.75" customHeight="1">
      <c r="H746" s="13"/>
      <c r="L746" s="13"/>
    </row>
    <row r="747" ht="15.75" customHeight="1">
      <c r="H747" s="13"/>
      <c r="L747" s="13"/>
    </row>
    <row r="748" ht="15.75" customHeight="1">
      <c r="H748" s="13"/>
      <c r="L748" s="13"/>
    </row>
    <row r="749" ht="15.75" customHeight="1">
      <c r="H749" s="13"/>
      <c r="L749" s="13"/>
    </row>
    <row r="750" ht="15.75" customHeight="1">
      <c r="H750" s="13"/>
      <c r="L750" s="13"/>
    </row>
    <row r="751" ht="15.75" customHeight="1">
      <c r="H751" s="13"/>
      <c r="L751" s="13"/>
    </row>
    <row r="752" ht="15.75" customHeight="1">
      <c r="H752" s="13"/>
      <c r="L752" s="13"/>
    </row>
    <row r="753" ht="15.75" customHeight="1">
      <c r="H753" s="13"/>
      <c r="L753" s="13"/>
    </row>
    <row r="754" ht="15.75" customHeight="1">
      <c r="H754" s="13"/>
      <c r="L754" s="13"/>
    </row>
    <row r="755" ht="15.75" customHeight="1">
      <c r="H755" s="13"/>
      <c r="L755" s="13"/>
    </row>
    <row r="756" ht="15.75" customHeight="1">
      <c r="H756" s="13"/>
      <c r="L756" s="13"/>
    </row>
    <row r="757" ht="15.75" customHeight="1">
      <c r="H757" s="13"/>
      <c r="L757" s="13"/>
    </row>
    <row r="758" ht="15.75" customHeight="1">
      <c r="H758" s="13"/>
      <c r="L758" s="13"/>
    </row>
    <row r="759" ht="15.75" customHeight="1">
      <c r="H759" s="13"/>
      <c r="L759" s="13"/>
    </row>
    <row r="760" ht="15.75" customHeight="1">
      <c r="H760" s="13"/>
      <c r="L760" s="13"/>
    </row>
    <row r="761" ht="15.75" customHeight="1">
      <c r="H761" s="13"/>
      <c r="L761" s="13"/>
    </row>
    <row r="762" ht="15.75" customHeight="1">
      <c r="H762" s="13"/>
      <c r="L762" s="13"/>
    </row>
    <row r="763" ht="15.75" customHeight="1">
      <c r="H763" s="13"/>
      <c r="L763" s="13"/>
    </row>
    <row r="764" ht="15.75" customHeight="1">
      <c r="H764" s="13"/>
      <c r="L764" s="13"/>
    </row>
    <row r="765" ht="15.75" customHeight="1">
      <c r="H765" s="13"/>
      <c r="L765" s="13"/>
    </row>
    <row r="766" ht="15.75" customHeight="1">
      <c r="H766" s="13"/>
      <c r="L766" s="13"/>
    </row>
    <row r="767" ht="15.75" customHeight="1">
      <c r="H767" s="13"/>
      <c r="L767" s="13"/>
    </row>
    <row r="768" ht="15.75" customHeight="1">
      <c r="H768" s="13"/>
      <c r="L768" s="13"/>
    </row>
    <row r="769" ht="15.75" customHeight="1">
      <c r="H769" s="13"/>
      <c r="L769" s="13"/>
    </row>
    <row r="770" ht="15.75" customHeight="1">
      <c r="H770" s="13"/>
      <c r="L770" s="13"/>
    </row>
    <row r="771" ht="15.75" customHeight="1">
      <c r="H771" s="13"/>
      <c r="L771" s="13"/>
    </row>
    <row r="772" ht="15.75" customHeight="1">
      <c r="H772" s="13"/>
      <c r="L772" s="13"/>
    </row>
    <row r="773" ht="15.75" customHeight="1">
      <c r="H773" s="13"/>
      <c r="L773" s="13"/>
    </row>
    <row r="774" ht="15.75" customHeight="1">
      <c r="H774" s="13"/>
      <c r="L774" s="13"/>
    </row>
    <row r="775" ht="15.75" customHeight="1">
      <c r="H775" s="13"/>
      <c r="L775" s="13"/>
    </row>
    <row r="776" ht="15.75" customHeight="1">
      <c r="H776" s="13"/>
      <c r="L776" s="13"/>
    </row>
    <row r="777" ht="15.75" customHeight="1">
      <c r="H777" s="13"/>
      <c r="L777" s="13"/>
    </row>
    <row r="778" ht="15.75" customHeight="1">
      <c r="H778" s="13"/>
      <c r="L778" s="13"/>
    </row>
    <row r="779" ht="15.75" customHeight="1">
      <c r="H779" s="13"/>
      <c r="L779" s="13"/>
    </row>
    <row r="780" ht="15.75" customHeight="1">
      <c r="H780" s="13"/>
      <c r="L780" s="13"/>
    </row>
    <row r="781" ht="15.75" customHeight="1">
      <c r="H781" s="13"/>
      <c r="L781" s="13"/>
    </row>
    <row r="782" ht="15.75" customHeight="1">
      <c r="H782" s="13"/>
      <c r="L782" s="13"/>
    </row>
    <row r="783" ht="15.75" customHeight="1">
      <c r="H783" s="13"/>
      <c r="L783" s="13"/>
    </row>
    <row r="784" ht="15.75" customHeight="1">
      <c r="H784" s="13"/>
      <c r="L784" s="13"/>
    </row>
    <row r="785" ht="15.75" customHeight="1">
      <c r="H785" s="13"/>
      <c r="L785" s="13"/>
    </row>
    <row r="786" ht="15.75" customHeight="1">
      <c r="H786" s="13"/>
      <c r="L786" s="13"/>
    </row>
    <row r="787" ht="15.75" customHeight="1">
      <c r="H787" s="13"/>
      <c r="L787" s="13"/>
    </row>
    <row r="788" ht="15.75" customHeight="1">
      <c r="H788" s="13"/>
      <c r="L788" s="13"/>
    </row>
    <row r="789" ht="15.75" customHeight="1">
      <c r="H789" s="13"/>
      <c r="L789" s="13"/>
    </row>
    <row r="790" ht="15.75" customHeight="1">
      <c r="H790" s="13"/>
      <c r="L790" s="13"/>
    </row>
    <row r="791" ht="15.75" customHeight="1">
      <c r="H791" s="13"/>
      <c r="L791" s="13"/>
    </row>
    <row r="792" ht="15.75" customHeight="1">
      <c r="H792" s="13"/>
      <c r="L792" s="13"/>
    </row>
    <row r="793" ht="15.75" customHeight="1">
      <c r="H793" s="13"/>
      <c r="L793" s="13"/>
    </row>
    <row r="794" ht="15.75" customHeight="1">
      <c r="H794" s="13"/>
      <c r="L794" s="13"/>
    </row>
    <row r="795" ht="15.75" customHeight="1">
      <c r="H795" s="13"/>
      <c r="L795" s="13"/>
    </row>
    <row r="796" ht="15.75" customHeight="1">
      <c r="H796" s="13"/>
      <c r="L796" s="13"/>
    </row>
    <row r="797" ht="15.75" customHeight="1">
      <c r="H797" s="13"/>
      <c r="L797" s="13"/>
    </row>
    <row r="798" ht="15.75" customHeight="1">
      <c r="H798" s="13"/>
      <c r="L798" s="13"/>
    </row>
    <row r="799" ht="15.75" customHeight="1">
      <c r="H799" s="13"/>
      <c r="L799" s="13"/>
    </row>
    <row r="800" ht="15.75" customHeight="1">
      <c r="H800" s="13"/>
      <c r="L800" s="13"/>
    </row>
    <row r="801" ht="15.75" customHeight="1">
      <c r="H801" s="13"/>
      <c r="L801" s="13"/>
    </row>
    <row r="802" ht="15.75" customHeight="1">
      <c r="H802" s="13"/>
      <c r="L802" s="13"/>
    </row>
    <row r="803" ht="15.75" customHeight="1">
      <c r="H803" s="13"/>
      <c r="L803" s="13"/>
    </row>
    <row r="804" ht="15.75" customHeight="1">
      <c r="H804" s="13"/>
      <c r="L804" s="13"/>
    </row>
    <row r="805" ht="15.75" customHeight="1">
      <c r="H805" s="13"/>
      <c r="L805" s="13"/>
    </row>
    <row r="806" ht="15.75" customHeight="1">
      <c r="H806" s="13"/>
      <c r="L806" s="13"/>
    </row>
    <row r="807" ht="15.75" customHeight="1">
      <c r="H807" s="13"/>
      <c r="L807" s="13"/>
    </row>
    <row r="808" ht="15.75" customHeight="1">
      <c r="H808" s="13"/>
      <c r="L808" s="13"/>
    </row>
    <row r="809" ht="15.75" customHeight="1">
      <c r="H809" s="13"/>
      <c r="L809" s="13"/>
    </row>
    <row r="810" ht="15.75" customHeight="1">
      <c r="H810" s="13"/>
      <c r="L810" s="13"/>
    </row>
    <row r="811" ht="15.75" customHeight="1">
      <c r="H811" s="13"/>
      <c r="L811" s="13"/>
    </row>
    <row r="812" ht="15.75" customHeight="1">
      <c r="H812" s="13"/>
      <c r="L812" s="13"/>
    </row>
    <row r="813" ht="15.75" customHeight="1">
      <c r="H813" s="13"/>
      <c r="L813" s="13"/>
    </row>
    <row r="814" ht="15.75" customHeight="1">
      <c r="H814" s="13"/>
      <c r="L814" s="13"/>
    </row>
    <row r="815" ht="15.75" customHeight="1">
      <c r="H815" s="13"/>
      <c r="L815" s="13"/>
    </row>
    <row r="816" ht="15.75" customHeight="1">
      <c r="H816" s="13"/>
      <c r="L816" s="13"/>
    </row>
    <row r="817" ht="15.75" customHeight="1">
      <c r="H817" s="13"/>
      <c r="L817" s="13"/>
    </row>
    <row r="818" ht="15.75" customHeight="1">
      <c r="H818" s="13"/>
      <c r="L818" s="13"/>
    </row>
    <row r="819" ht="15.75" customHeight="1">
      <c r="H819" s="13"/>
      <c r="L819" s="13"/>
    </row>
    <row r="820" ht="15.75" customHeight="1">
      <c r="H820" s="13"/>
      <c r="L820" s="13"/>
    </row>
    <row r="821" ht="15.75" customHeight="1">
      <c r="H821" s="13"/>
      <c r="L821" s="13"/>
    </row>
    <row r="822" ht="15.75" customHeight="1">
      <c r="H822" s="13"/>
      <c r="L822" s="13"/>
    </row>
    <row r="823" ht="15.75" customHeight="1">
      <c r="H823" s="13"/>
      <c r="L823" s="13"/>
    </row>
    <row r="824" ht="15.75" customHeight="1">
      <c r="H824" s="13"/>
      <c r="L824" s="13"/>
    </row>
    <row r="825" ht="15.75" customHeight="1">
      <c r="H825" s="13"/>
      <c r="L825" s="13"/>
    </row>
    <row r="826" ht="15.75" customHeight="1">
      <c r="H826" s="13"/>
      <c r="L826" s="13"/>
    </row>
    <row r="827" ht="15.75" customHeight="1">
      <c r="H827" s="13"/>
      <c r="L827" s="13"/>
    </row>
    <row r="828" ht="15.75" customHeight="1">
      <c r="H828" s="13"/>
      <c r="L828" s="13"/>
    </row>
    <row r="829" ht="15.75" customHeight="1">
      <c r="H829" s="13"/>
      <c r="L829" s="13"/>
    </row>
    <row r="830" ht="15.75" customHeight="1">
      <c r="H830" s="13"/>
      <c r="L830" s="13"/>
    </row>
    <row r="831" ht="15.75" customHeight="1">
      <c r="H831" s="13"/>
      <c r="L831" s="13"/>
    </row>
    <row r="832" ht="15.75" customHeight="1">
      <c r="H832" s="13"/>
      <c r="L832" s="13"/>
    </row>
    <row r="833" ht="15.75" customHeight="1">
      <c r="H833" s="13"/>
      <c r="L833" s="13"/>
    </row>
    <row r="834" ht="15.75" customHeight="1">
      <c r="H834" s="13"/>
      <c r="L834" s="13"/>
    </row>
    <row r="835" ht="15.75" customHeight="1">
      <c r="H835" s="13"/>
      <c r="L835" s="13"/>
    </row>
    <row r="836" ht="15.75" customHeight="1">
      <c r="H836" s="13"/>
      <c r="L836" s="13"/>
    </row>
    <row r="837" ht="15.75" customHeight="1">
      <c r="H837" s="13"/>
      <c r="L837" s="13"/>
    </row>
    <row r="838" ht="15.75" customHeight="1">
      <c r="H838" s="13"/>
      <c r="L838" s="13"/>
    </row>
    <row r="839" ht="15.75" customHeight="1">
      <c r="H839" s="13"/>
      <c r="L839" s="13"/>
    </row>
    <row r="840" ht="15.75" customHeight="1">
      <c r="H840" s="13"/>
      <c r="L840" s="13"/>
    </row>
    <row r="841" ht="15.75" customHeight="1">
      <c r="H841" s="13"/>
      <c r="L841" s="13"/>
    </row>
    <row r="842" ht="15.75" customHeight="1">
      <c r="H842" s="13"/>
      <c r="L842" s="13"/>
    </row>
    <row r="843" ht="15.75" customHeight="1">
      <c r="H843" s="13"/>
      <c r="L843" s="13"/>
    </row>
    <row r="844" ht="15.75" customHeight="1">
      <c r="H844" s="13"/>
      <c r="L844" s="13"/>
    </row>
    <row r="845" ht="15.75" customHeight="1">
      <c r="H845" s="13"/>
      <c r="L845" s="13"/>
    </row>
    <row r="846" ht="15.75" customHeight="1">
      <c r="H846" s="13"/>
      <c r="L846" s="13"/>
    </row>
    <row r="847" ht="15.75" customHeight="1">
      <c r="H847" s="13"/>
      <c r="L847" s="13"/>
    </row>
    <row r="848" ht="15.75" customHeight="1">
      <c r="H848" s="13"/>
      <c r="L848" s="13"/>
    </row>
    <row r="849" ht="15.75" customHeight="1">
      <c r="H849" s="13"/>
      <c r="L849" s="13"/>
    </row>
    <row r="850" ht="15.75" customHeight="1">
      <c r="H850" s="13"/>
      <c r="L850" s="13"/>
    </row>
    <row r="851" ht="15.75" customHeight="1">
      <c r="H851" s="13"/>
      <c r="L851" s="13"/>
    </row>
    <row r="852" ht="15.75" customHeight="1">
      <c r="H852" s="13"/>
      <c r="L852" s="13"/>
    </row>
    <row r="853" ht="15.75" customHeight="1">
      <c r="H853" s="13"/>
      <c r="L853" s="13"/>
    </row>
    <row r="854" ht="15.75" customHeight="1">
      <c r="H854" s="13"/>
      <c r="L854" s="13"/>
    </row>
    <row r="855" ht="15.75" customHeight="1">
      <c r="H855" s="13"/>
      <c r="L855" s="13"/>
    </row>
    <row r="856" ht="15.75" customHeight="1">
      <c r="H856" s="13"/>
      <c r="L856" s="13"/>
    </row>
    <row r="857" ht="15.75" customHeight="1">
      <c r="H857" s="13"/>
      <c r="L857" s="13"/>
    </row>
    <row r="858" ht="15.75" customHeight="1">
      <c r="H858" s="13"/>
      <c r="L858" s="13"/>
    </row>
    <row r="859" ht="15.75" customHeight="1">
      <c r="H859" s="13"/>
      <c r="L859" s="13"/>
    </row>
    <row r="860" ht="15.75" customHeight="1">
      <c r="H860" s="13"/>
      <c r="L860" s="13"/>
    </row>
    <row r="861" ht="15.75" customHeight="1">
      <c r="H861" s="13"/>
      <c r="L861" s="13"/>
    </row>
    <row r="862" ht="15.75" customHeight="1">
      <c r="H862" s="13"/>
      <c r="L862" s="13"/>
    </row>
    <row r="863" ht="15.75" customHeight="1">
      <c r="H863" s="13"/>
      <c r="L863" s="13"/>
    </row>
    <row r="864" ht="15.75" customHeight="1">
      <c r="H864" s="13"/>
      <c r="L864" s="13"/>
    </row>
    <row r="865" ht="15.75" customHeight="1">
      <c r="H865" s="13"/>
      <c r="L865" s="13"/>
    </row>
    <row r="866" ht="15.75" customHeight="1">
      <c r="H866" s="13"/>
      <c r="L866" s="13"/>
    </row>
    <row r="867" ht="15.75" customHeight="1">
      <c r="H867" s="13"/>
      <c r="L867" s="13"/>
    </row>
    <row r="868" ht="15.75" customHeight="1">
      <c r="H868" s="13"/>
      <c r="L868" s="13"/>
    </row>
    <row r="869" ht="15.75" customHeight="1">
      <c r="H869" s="13"/>
      <c r="L869" s="13"/>
    </row>
    <row r="870" ht="15.75" customHeight="1">
      <c r="H870" s="13"/>
      <c r="L870" s="13"/>
    </row>
    <row r="871" ht="15.75" customHeight="1">
      <c r="H871" s="13"/>
      <c r="L871" s="13"/>
    </row>
    <row r="872" ht="15.75" customHeight="1">
      <c r="H872" s="13"/>
      <c r="L872" s="13"/>
    </row>
    <row r="873" ht="15.75" customHeight="1">
      <c r="H873" s="13"/>
      <c r="L873" s="13"/>
    </row>
    <row r="874" ht="15.75" customHeight="1">
      <c r="H874" s="13"/>
      <c r="L874" s="13"/>
    </row>
    <row r="875" ht="15.75" customHeight="1">
      <c r="H875" s="13"/>
      <c r="L875" s="13"/>
    </row>
    <row r="876" ht="15.75" customHeight="1">
      <c r="H876" s="13"/>
      <c r="L876" s="13"/>
    </row>
    <row r="877" ht="15.75" customHeight="1">
      <c r="H877" s="13"/>
      <c r="L877" s="13"/>
    </row>
    <row r="878" ht="15.75" customHeight="1">
      <c r="H878" s="13"/>
      <c r="L878" s="13"/>
    </row>
    <row r="879" ht="15.75" customHeight="1">
      <c r="H879" s="13"/>
      <c r="L879" s="13"/>
    </row>
    <row r="880" ht="15.75" customHeight="1">
      <c r="H880" s="13"/>
      <c r="L880" s="13"/>
    </row>
    <row r="881" ht="15.75" customHeight="1">
      <c r="H881" s="13"/>
      <c r="L881" s="13"/>
    </row>
    <row r="882" ht="15.75" customHeight="1">
      <c r="H882" s="13"/>
      <c r="L882" s="13"/>
    </row>
    <row r="883" ht="15.75" customHeight="1">
      <c r="H883" s="13"/>
      <c r="L883" s="13"/>
    </row>
    <row r="884" ht="15.75" customHeight="1">
      <c r="H884" s="13"/>
      <c r="L884" s="13"/>
    </row>
    <row r="885" ht="15.75" customHeight="1">
      <c r="H885" s="13"/>
      <c r="L885" s="13"/>
    </row>
    <row r="886" ht="15.75" customHeight="1">
      <c r="H886" s="13"/>
      <c r="L886" s="13"/>
    </row>
    <row r="887" ht="15.75" customHeight="1">
      <c r="H887" s="13"/>
      <c r="L887" s="13"/>
    </row>
    <row r="888" ht="15.75" customHeight="1">
      <c r="H888" s="13"/>
      <c r="L888" s="13"/>
    </row>
    <row r="889" ht="15.75" customHeight="1">
      <c r="H889" s="13"/>
      <c r="L889" s="13"/>
    </row>
    <row r="890" ht="15.75" customHeight="1">
      <c r="H890" s="13"/>
      <c r="L890" s="13"/>
    </row>
    <row r="891" ht="15.75" customHeight="1">
      <c r="H891" s="13"/>
      <c r="L891" s="13"/>
    </row>
    <row r="892" ht="15.75" customHeight="1">
      <c r="H892" s="13"/>
      <c r="L892" s="13"/>
    </row>
    <row r="893" ht="15.75" customHeight="1">
      <c r="H893" s="13"/>
      <c r="L893" s="13"/>
    </row>
    <row r="894" ht="15.75" customHeight="1">
      <c r="H894" s="13"/>
      <c r="L894" s="13"/>
    </row>
    <row r="895" ht="15.75" customHeight="1">
      <c r="H895" s="13"/>
      <c r="L895" s="13"/>
    </row>
    <row r="896" ht="15.75" customHeight="1">
      <c r="H896" s="13"/>
      <c r="L896" s="13"/>
    </row>
    <row r="897" ht="15.75" customHeight="1">
      <c r="H897" s="13"/>
      <c r="L897" s="13"/>
    </row>
    <row r="898" ht="15.75" customHeight="1">
      <c r="H898" s="13"/>
      <c r="L898" s="13"/>
    </row>
    <row r="899" ht="15.75" customHeight="1">
      <c r="H899" s="13"/>
      <c r="L899" s="13"/>
    </row>
    <row r="900" ht="15.75" customHeight="1">
      <c r="H900" s="13"/>
      <c r="L900" s="13"/>
    </row>
    <row r="901" ht="15.75" customHeight="1">
      <c r="H901" s="13"/>
      <c r="L901" s="13"/>
    </row>
    <row r="902" ht="15.75" customHeight="1">
      <c r="H902" s="13"/>
      <c r="L902" s="13"/>
    </row>
    <row r="903" ht="15.75" customHeight="1">
      <c r="H903" s="13"/>
      <c r="L903" s="13"/>
    </row>
    <row r="904" ht="15.75" customHeight="1">
      <c r="H904" s="13"/>
      <c r="L904" s="13"/>
    </row>
    <row r="905" ht="15.75" customHeight="1">
      <c r="H905" s="13"/>
      <c r="L905" s="13"/>
    </row>
    <row r="906" ht="15.75" customHeight="1">
      <c r="H906" s="13"/>
      <c r="L906" s="13"/>
    </row>
    <row r="907" ht="15.75" customHeight="1">
      <c r="H907" s="13"/>
      <c r="L907" s="13"/>
    </row>
    <row r="908" ht="15.75" customHeight="1">
      <c r="H908" s="13"/>
      <c r="L908" s="13"/>
    </row>
    <row r="909" ht="15.75" customHeight="1">
      <c r="H909" s="13"/>
      <c r="L909" s="13"/>
    </row>
    <row r="910" ht="15.75" customHeight="1">
      <c r="H910" s="13"/>
      <c r="L910" s="13"/>
    </row>
    <row r="911" ht="15.75" customHeight="1">
      <c r="H911" s="13"/>
      <c r="L911" s="13"/>
    </row>
    <row r="912" ht="15.75" customHeight="1">
      <c r="H912" s="13"/>
      <c r="L912" s="13"/>
    </row>
    <row r="913" ht="15.75" customHeight="1">
      <c r="H913" s="13"/>
      <c r="L913" s="13"/>
    </row>
    <row r="914" ht="15.75" customHeight="1">
      <c r="H914" s="13"/>
      <c r="L914" s="13"/>
    </row>
    <row r="915" ht="15.75" customHeight="1">
      <c r="H915" s="13"/>
      <c r="L915" s="13"/>
    </row>
    <row r="916" ht="15.75" customHeight="1">
      <c r="H916" s="13"/>
      <c r="L916" s="13"/>
    </row>
    <row r="917" ht="15.75" customHeight="1">
      <c r="H917" s="13"/>
      <c r="L917" s="13"/>
    </row>
    <row r="918" ht="15.75" customHeight="1">
      <c r="H918" s="13"/>
      <c r="L918" s="13"/>
    </row>
    <row r="919" ht="15.75" customHeight="1">
      <c r="H919" s="13"/>
      <c r="L919" s="13"/>
    </row>
    <row r="920" ht="15.75" customHeight="1">
      <c r="H920" s="13"/>
      <c r="L920" s="13"/>
    </row>
    <row r="921" ht="15.75" customHeight="1">
      <c r="H921" s="13"/>
      <c r="L921" s="13"/>
    </row>
    <row r="922" ht="15.75" customHeight="1">
      <c r="H922" s="13"/>
      <c r="L922" s="13"/>
    </row>
    <row r="923" ht="15.75" customHeight="1">
      <c r="H923" s="13"/>
      <c r="L923" s="13"/>
    </row>
    <row r="924" ht="15.75" customHeight="1">
      <c r="H924" s="13"/>
      <c r="L924" s="13"/>
    </row>
    <row r="925" ht="15.75" customHeight="1">
      <c r="H925" s="13"/>
      <c r="L925" s="13"/>
    </row>
    <row r="926" ht="15.75" customHeight="1">
      <c r="H926" s="13"/>
      <c r="L926" s="13"/>
    </row>
    <row r="927" ht="15.75" customHeight="1">
      <c r="H927" s="13"/>
      <c r="L927" s="13"/>
    </row>
    <row r="928" ht="15.75" customHeight="1">
      <c r="H928" s="13"/>
      <c r="L928" s="13"/>
    </row>
    <row r="929" ht="15.75" customHeight="1">
      <c r="H929" s="13"/>
      <c r="L929" s="13"/>
    </row>
    <row r="930" ht="15.75" customHeight="1">
      <c r="H930" s="13"/>
      <c r="L930" s="13"/>
    </row>
    <row r="931" ht="15.75" customHeight="1">
      <c r="H931" s="13"/>
      <c r="L931" s="13"/>
    </row>
    <row r="932" ht="15.75" customHeight="1">
      <c r="H932" s="13"/>
      <c r="L932" s="13"/>
    </row>
    <row r="933" ht="15.75" customHeight="1">
      <c r="H933" s="13"/>
      <c r="L933" s="13"/>
    </row>
    <row r="934" ht="15.75" customHeight="1">
      <c r="H934" s="13"/>
      <c r="L934" s="13"/>
    </row>
    <row r="935" ht="15.75" customHeight="1">
      <c r="H935" s="13"/>
      <c r="L935" s="13"/>
    </row>
    <row r="936" ht="15.75" customHeight="1">
      <c r="H936" s="13"/>
      <c r="L936" s="13"/>
    </row>
    <row r="937" ht="15.75" customHeight="1">
      <c r="H937" s="13"/>
      <c r="L937" s="13"/>
    </row>
    <row r="938" ht="15.75" customHeight="1">
      <c r="H938" s="13"/>
      <c r="L938" s="13"/>
    </row>
    <row r="939" ht="15.75" customHeight="1">
      <c r="H939" s="13"/>
      <c r="L939" s="13"/>
    </row>
    <row r="940" ht="15.75" customHeight="1">
      <c r="H940" s="13"/>
      <c r="L940" s="13"/>
    </row>
    <row r="941" ht="15.75" customHeight="1">
      <c r="H941" s="13"/>
      <c r="L941" s="13"/>
    </row>
    <row r="942" ht="15.75" customHeight="1">
      <c r="H942" s="13"/>
      <c r="L942" s="13"/>
    </row>
    <row r="943" ht="15.75" customHeight="1">
      <c r="H943" s="13"/>
      <c r="L943" s="13"/>
    </row>
    <row r="944" ht="15.75" customHeight="1">
      <c r="H944" s="13"/>
      <c r="L944" s="13"/>
    </row>
    <row r="945" ht="15.75" customHeight="1">
      <c r="H945" s="13"/>
      <c r="L945" s="13"/>
    </row>
    <row r="946" ht="15.75" customHeight="1">
      <c r="H946" s="13"/>
      <c r="L946" s="13"/>
    </row>
    <row r="947" ht="15.75" customHeight="1">
      <c r="H947" s="13"/>
      <c r="L947" s="13"/>
    </row>
    <row r="948" ht="15.75" customHeight="1">
      <c r="H948" s="13"/>
      <c r="L948" s="13"/>
    </row>
    <row r="949" ht="15.75" customHeight="1">
      <c r="H949" s="13"/>
      <c r="L949" s="13"/>
    </row>
    <row r="950" ht="15.75" customHeight="1">
      <c r="H950" s="13"/>
      <c r="L950" s="13"/>
    </row>
    <row r="951" ht="15.75" customHeight="1">
      <c r="H951" s="13"/>
      <c r="L951" s="13"/>
    </row>
    <row r="952" ht="15.75" customHeight="1">
      <c r="H952" s="13"/>
      <c r="L952" s="13"/>
    </row>
    <row r="953" ht="15.75" customHeight="1">
      <c r="H953" s="13"/>
      <c r="L953" s="13"/>
    </row>
    <row r="954" ht="15.75" customHeight="1">
      <c r="H954" s="13"/>
      <c r="L954" s="13"/>
    </row>
    <row r="955" ht="15.75" customHeight="1">
      <c r="H955" s="13"/>
      <c r="L955" s="13"/>
    </row>
    <row r="956" ht="15.75" customHeight="1">
      <c r="H956" s="13"/>
      <c r="L956" s="13"/>
    </row>
    <row r="957" ht="15.75" customHeight="1">
      <c r="H957" s="13"/>
      <c r="L957" s="13"/>
    </row>
    <row r="958" ht="15.75" customHeight="1">
      <c r="H958" s="13"/>
      <c r="L958" s="13"/>
    </row>
    <row r="959" ht="15.75" customHeight="1">
      <c r="H959" s="13"/>
      <c r="L959" s="13"/>
    </row>
    <row r="960" ht="15.75" customHeight="1">
      <c r="H960" s="13"/>
      <c r="L960" s="13"/>
    </row>
    <row r="961" ht="15.75" customHeight="1">
      <c r="H961" s="13"/>
      <c r="L961" s="13"/>
    </row>
    <row r="962" ht="15.75" customHeight="1">
      <c r="H962" s="13"/>
      <c r="L962" s="13"/>
    </row>
    <row r="963" ht="15.75" customHeight="1">
      <c r="H963" s="13"/>
      <c r="L963" s="13"/>
    </row>
    <row r="964" ht="15.75" customHeight="1">
      <c r="H964" s="13"/>
      <c r="L964" s="13"/>
    </row>
    <row r="965" ht="15.75" customHeight="1">
      <c r="H965" s="13"/>
      <c r="L965" s="13"/>
    </row>
    <row r="966" ht="15.75" customHeight="1">
      <c r="H966" s="13"/>
      <c r="L966" s="13"/>
    </row>
    <row r="967" ht="15.75" customHeight="1">
      <c r="H967" s="13"/>
      <c r="L967" s="13"/>
    </row>
    <row r="968" ht="15.75" customHeight="1">
      <c r="H968" s="13"/>
      <c r="L968" s="13"/>
    </row>
    <row r="969" ht="15.75" customHeight="1">
      <c r="H969" s="13"/>
      <c r="L969" s="13"/>
    </row>
    <row r="970" ht="15.75" customHeight="1">
      <c r="H970" s="13"/>
      <c r="L970" s="13"/>
    </row>
    <row r="971" ht="15.75" customHeight="1">
      <c r="H971" s="13"/>
      <c r="L971" s="13"/>
    </row>
    <row r="972" ht="15.75" customHeight="1">
      <c r="H972" s="13"/>
      <c r="L972" s="13"/>
    </row>
    <row r="973" ht="15.75" customHeight="1">
      <c r="H973" s="13"/>
      <c r="L973" s="13"/>
    </row>
    <row r="974" ht="15.75" customHeight="1">
      <c r="H974" s="13"/>
      <c r="L974" s="13"/>
    </row>
    <row r="975" ht="15.75" customHeight="1">
      <c r="H975" s="13"/>
      <c r="L975" s="13"/>
    </row>
    <row r="976" ht="15.75" customHeight="1">
      <c r="H976" s="13"/>
      <c r="L976" s="13"/>
    </row>
    <row r="977" ht="15.75" customHeight="1">
      <c r="H977" s="13"/>
      <c r="L977" s="13"/>
    </row>
    <row r="978" ht="15.75" customHeight="1">
      <c r="H978" s="13"/>
      <c r="L978" s="13"/>
    </row>
    <row r="979" ht="15.75" customHeight="1">
      <c r="H979" s="13"/>
      <c r="L979" s="13"/>
    </row>
    <row r="980" ht="15.75" customHeight="1">
      <c r="H980" s="13"/>
      <c r="L980" s="13"/>
    </row>
    <row r="981" ht="15.75" customHeight="1">
      <c r="H981" s="13"/>
      <c r="L981" s="13"/>
    </row>
    <row r="982" ht="15.75" customHeight="1">
      <c r="H982" s="13"/>
      <c r="L982" s="13"/>
    </row>
    <row r="983" ht="15.75" customHeight="1">
      <c r="H983" s="13"/>
      <c r="L983" s="13"/>
    </row>
    <row r="984" ht="15.75" customHeight="1">
      <c r="H984" s="13"/>
      <c r="L984" s="13"/>
    </row>
    <row r="985" ht="15.75" customHeight="1">
      <c r="H985" s="13"/>
      <c r="L985" s="13"/>
    </row>
    <row r="986" ht="15.75" customHeight="1">
      <c r="H986" s="13"/>
      <c r="L986" s="13"/>
    </row>
    <row r="987" ht="15.75" customHeight="1">
      <c r="H987" s="13"/>
      <c r="L987" s="13"/>
    </row>
    <row r="988" ht="15.75" customHeight="1">
      <c r="H988" s="13"/>
      <c r="L988" s="13"/>
    </row>
    <row r="989" ht="15.75" customHeight="1">
      <c r="H989" s="13"/>
      <c r="L989" s="13"/>
    </row>
    <row r="990" ht="15.75" customHeight="1">
      <c r="H990" s="13"/>
      <c r="L990" s="13"/>
    </row>
    <row r="991" ht="15.75" customHeight="1">
      <c r="H991" s="13"/>
      <c r="L991" s="13"/>
    </row>
    <row r="992" ht="15.75" customHeight="1">
      <c r="H992" s="13"/>
      <c r="L992" s="13"/>
    </row>
    <row r="993" ht="15.75" customHeight="1">
      <c r="H993" s="13"/>
      <c r="L993" s="13"/>
    </row>
    <row r="994" ht="15.75" customHeight="1">
      <c r="H994" s="13"/>
      <c r="L994" s="13"/>
    </row>
    <row r="995" ht="15.75" customHeight="1">
      <c r="H995" s="13"/>
      <c r="L995" s="13"/>
    </row>
    <row r="996" ht="15.75" customHeight="1">
      <c r="H996" s="13"/>
      <c r="L996" s="13"/>
    </row>
    <row r="997" ht="15.75" customHeight="1">
      <c r="H997" s="13"/>
      <c r="L997" s="13"/>
    </row>
    <row r="998" ht="15.75" customHeight="1">
      <c r="H998" s="13"/>
      <c r="L998" s="13"/>
    </row>
    <row r="999" ht="15.75" customHeight="1">
      <c r="H999" s="13"/>
      <c r="L999" s="13"/>
    </row>
    <row r="1000" ht="15.75" customHeight="1">
      <c r="H1000" s="13"/>
      <c r="L1000" s="13"/>
    </row>
  </sheetData>
  <conditionalFormatting sqref="H2:H1000">
    <cfRule type="expression" dxfId="5" priority="1">
      <formula>H2="High"</formula>
    </cfRule>
  </conditionalFormatting>
  <conditionalFormatting sqref="H2:H1000">
    <cfRule type="expression" dxfId="6" priority="2">
      <formula>H2="Medium"</formula>
    </cfRule>
  </conditionalFormatting>
  <conditionalFormatting sqref="H2:H1000">
    <cfRule type="expression" dxfId="7" priority="3">
      <formula>H2="Low"</formula>
    </cfRule>
  </conditionalFormatting>
  <conditionalFormatting sqref="H2:H194">
    <cfRule type="expression" dxfId="5" priority="4">
      <formula>H2="High"</formula>
    </cfRule>
  </conditionalFormatting>
  <conditionalFormatting sqref="H2:H194">
    <cfRule type="expression" dxfId="6" priority="5">
      <formula>H2="Medium"</formula>
    </cfRule>
  </conditionalFormatting>
  <conditionalFormatting sqref="H2:H194">
    <cfRule type="expression" dxfId="7" priority="6">
      <formula>H2="Low"</formula>
    </cfRule>
  </conditionalFormatting>
  <conditionalFormatting sqref="L2:L500">
    <cfRule type="expression" dxfId="8" priority="7">
      <formula>L2="P1"</formula>
    </cfRule>
  </conditionalFormatting>
  <conditionalFormatting sqref="L2:L500">
    <cfRule type="expression" dxfId="9" priority="8">
      <formula>L2="P2"</formula>
    </cfRule>
  </conditionalFormatting>
  <conditionalFormatting sqref="L2:L500">
    <cfRule type="expression" dxfId="10" priority="9">
      <formula>L2="P3"</formula>
    </cfRule>
  </conditionalFormatting>
  <conditionalFormatting sqref="L2:L500">
    <cfRule type="expression" dxfId="11" priority="10">
      <formula>L2="Backlog"</formula>
    </cfRule>
  </conditionalFormatting>
  <dataValidations>
    <dataValidation type="list" allowBlank="1" sqref="L2:L1000">
      <formula1>"P1,P2,P3,Backlog"</formula1>
    </dataValidation>
    <dataValidation type="list" allowBlank="1" sqref="H2:H1000">
      <formula1>"High,Medium,Low"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8.0"/>
    <col customWidth="1" min="3" max="5" width="20.0"/>
    <col customWidth="1" min="6" max="6" width="25.0"/>
    <col customWidth="1" min="7" max="8" width="13.0"/>
    <col customWidth="1" min="9" max="9" width="32.0"/>
    <col customWidth="1" min="10" max="10" width="38.0"/>
    <col customWidth="1" min="11" max="26" width="8.63"/>
  </cols>
  <sheetData>
    <row r="1">
      <c r="A1" s="1" t="s">
        <v>0</v>
      </c>
      <c r="B1" s="1" t="s">
        <v>5</v>
      </c>
      <c r="C1" s="1" t="s">
        <v>6</v>
      </c>
      <c r="D1" s="1" t="s">
        <v>9</v>
      </c>
      <c r="E1" s="1" t="s">
        <v>13</v>
      </c>
      <c r="F1" s="1" t="s">
        <v>15</v>
      </c>
      <c r="G1" s="1" t="s">
        <v>20</v>
      </c>
      <c r="H1" s="1" t="s">
        <v>21</v>
      </c>
      <c r="I1" s="1" t="s">
        <v>22</v>
      </c>
      <c r="J1" s="1" t="s">
        <v>18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31</v>
      </c>
      <c r="B2" s="3" t="s">
        <v>36</v>
      </c>
      <c r="C2" s="3" t="s">
        <v>39</v>
      </c>
      <c r="D2" s="3" t="s">
        <v>42</v>
      </c>
      <c r="E2" s="3" t="s">
        <v>47</v>
      </c>
      <c r="F2" s="3" t="s">
        <v>49</v>
      </c>
      <c r="G2" s="3" t="s">
        <v>38</v>
      </c>
      <c r="H2" s="3" t="s">
        <v>52</v>
      </c>
      <c r="I2" s="3" t="s">
        <v>56</v>
      </c>
      <c r="J2" s="3" t="s">
        <v>58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67</v>
      </c>
      <c r="B3" s="3" t="s">
        <v>69</v>
      </c>
      <c r="C3" s="3" t="s">
        <v>39</v>
      </c>
      <c r="D3" s="3" t="s">
        <v>42</v>
      </c>
      <c r="E3" s="3" t="s">
        <v>47</v>
      </c>
      <c r="F3" s="3" t="s">
        <v>49</v>
      </c>
      <c r="G3" s="3" t="s">
        <v>38</v>
      </c>
      <c r="H3" s="3" t="s">
        <v>52</v>
      </c>
      <c r="I3" s="3" t="s">
        <v>56</v>
      </c>
      <c r="J3" s="3" t="s">
        <v>58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74</v>
      </c>
      <c r="B4" s="3" t="s">
        <v>75</v>
      </c>
      <c r="C4" s="3" t="s">
        <v>39</v>
      </c>
      <c r="D4" s="3" t="s">
        <v>42</v>
      </c>
      <c r="E4" s="3" t="s">
        <v>47</v>
      </c>
      <c r="F4" s="3" t="s">
        <v>49</v>
      </c>
      <c r="G4" s="3" t="s">
        <v>38</v>
      </c>
      <c r="H4" s="3" t="s">
        <v>52</v>
      </c>
      <c r="I4" s="3" t="s">
        <v>56</v>
      </c>
      <c r="J4" s="3" t="s">
        <v>58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85</v>
      </c>
      <c r="B5" s="3" t="s">
        <v>86</v>
      </c>
      <c r="C5" s="3" t="s">
        <v>88</v>
      </c>
      <c r="D5" s="3" t="s">
        <v>42</v>
      </c>
      <c r="E5" s="3" t="s">
        <v>47</v>
      </c>
      <c r="F5" s="3" t="s">
        <v>49</v>
      </c>
      <c r="G5" s="3" t="s">
        <v>38</v>
      </c>
      <c r="H5" s="3" t="s">
        <v>52</v>
      </c>
      <c r="I5" s="3" t="s">
        <v>56</v>
      </c>
      <c r="J5" s="3" t="s">
        <v>58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94</v>
      </c>
      <c r="B6" s="3" t="s">
        <v>95</v>
      </c>
      <c r="C6" s="3" t="s">
        <v>39</v>
      </c>
      <c r="D6" s="3" t="s">
        <v>62</v>
      </c>
      <c r="E6" s="3" t="s">
        <v>47</v>
      </c>
      <c r="F6" s="3" t="s">
        <v>49</v>
      </c>
      <c r="G6" s="3" t="s">
        <v>38</v>
      </c>
      <c r="H6" s="3" t="s">
        <v>52</v>
      </c>
      <c r="I6" s="3" t="s">
        <v>56</v>
      </c>
      <c r="J6" s="3" t="s">
        <v>58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101</v>
      </c>
      <c r="B7" s="3" t="s">
        <v>102</v>
      </c>
      <c r="C7" s="3" t="s">
        <v>37</v>
      </c>
      <c r="D7" s="3" t="s">
        <v>62</v>
      </c>
      <c r="E7" s="3" t="s">
        <v>103</v>
      </c>
      <c r="F7" s="3" t="s">
        <v>49</v>
      </c>
      <c r="G7" s="3" t="s">
        <v>38</v>
      </c>
      <c r="H7" s="3" t="s">
        <v>52</v>
      </c>
      <c r="I7" s="3" t="s">
        <v>56</v>
      </c>
      <c r="J7" s="3" t="s">
        <v>58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107</v>
      </c>
      <c r="B8" s="3" t="s">
        <v>109</v>
      </c>
      <c r="C8" s="3" t="s">
        <v>110</v>
      </c>
      <c r="D8" s="3" t="s">
        <v>62</v>
      </c>
      <c r="E8" s="3" t="s">
        <v>112</v>
      </c>
      <c r="F8" s="3" t="s">
        <v>49</v>
      </c>
      <c r="G8" s="3" t="s">
        <v>38</v>
      </c>
      <c r="H8" s="3" t="s">
        <v>52</v>
      </c>
      <c r="I8" s="3" t="s">
        <v>56</v>
      </c>
      <c r="J8" s="3" t="s">
        <v>58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116</v>
      </c>
      <c r="B9" s="3" t="s">
        <v>118</v>
      </c>
      <c r="C9" s="3" t="s">
        <v>110</v>
      </c>
      <c r="D9" s="3" t="s">
        <v>62</v>
      </c>
      <c r="E9" s="3" t="s">
        <v>47</v>
      </c>
      <c r="F9" s="3" t="s">
        <v>49</v>
      </c>
      <c r="G9" s="3" t="s">
        <v>38</v>
      </c>
      <c r="H9" s="3" t="s">
        <v>52</v>
      </c>
      <c r="I9" s="3" t="s">
        <v>56</v>
      </c>
      <c r="J9" s="3" t="s">
        <v>58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125</v>
      </c>
      <c r="B10" s="3" t="s">
        <v>126</v>
      </c>
      <c r="C10" s="3" t="s">
        <v>128</v>
      </c>
      <c r="D10" s="3" t="s">
        <v>62</v>
      </c>
      <c r="E10" s="3" t="s">
        <v>47</v>
      </c>
      <c r="F10" s="3" t="s">
        <v>49</v>
      </c>
      <c r="G10" s="3" t="s">
        <v>38</v>
      </c>
      <c r="H10" s="3" t="s">
        <v>52</v>
      </c>
      <c r="I10" s="3" t="s">
        <v>56</v>
      </c>
      <c r="J10" s="3" t="s">
        <v>58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132</v>
      </c>
      <c r="B11" s="3" t="s">
        <v>134</v>
      </c>
      <c r="C11" s="3" t="s">
        <v>37</v>
      </c>
      <c r="D11" s="3" t="s">
        <v>135</v>
      </c>
      <c r="E11" s="3" t="s">
        <v>47</v>
      </c>
      <c r="F11" s="3" t="s">
        <v>136</v>
      </c>
      <c r="G11" s="3" t="s">
        <v>38</v>
      </c>
      <c r="H11" s="3" t="s">
        <v>52</v>
      </c>
      <c r="I11" s="3" t="s">
        <v>56</v>
      </c>
      <c r="J11" s="3" t="s">
        <v>58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139</v>
      </c>
      <c r="B12" s="3" t="s">
        <v>141</v>
      </c>
      <c r="C12" s="3" t="s">
        <v>39</v>
      </c>
      <c r="D12" s="3" t="s">
        <v>135</v>
      </c>
      <c r="E12" s="3" t="s">
        <v>47</v>
      </c>
      <c r="F12" s="3" t="s">
        <v>49</v>
      </c>
      <c r="G12" s="3" t="s">
        <v>38</v>
      </c>
      <c r="H12" s="3" t="s">
        <v>52</v>
      </c>
      <c r="I12" s="3" t="s">
        <v>56</v>
      </c>
      <c r="J12" s="3" t="s">
        <v>58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144</v>
      </c>
      <c r="B13" s="3" t="s">
        <v>146</v>
      </c>
      <c r="C13" s="3" t="s">
        <v>150</v>
      </c>
      <c r="D13" s="3" t="s">
        <v>135</v>
      </c>
      <c r="E13" s="3" t="s">
        <v>47</v>
      </c>
      <c r="F13" s="3" t="s">
        <v>136</v>
      </c>
      <c r="G13" s="3" t="s">
        <v>38</v>
      </c>
      <c r="H13" s="3" t="s">
        <v>52</v>
      </c>
      <c r="I13" s="3" t="s">
        <v>56</v>
      </c>
      <c r="J13" s="3" t="s">
        <v>58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154</v>
      </c>
      <c r="B14" s="3" t="s">
        <v>156</v>
      </c>
      <c r="C14" s="3" t="s">
        <v>110</v>
      </c>
      <c r="D14" s="3" t="s">
        <v>135</v>
      </c>
      <c r="E14" s="3" t="s">
        <v>103</v>
      </c>
      <c r="F14" s="3" t="s">
        <v>49</v>
      </c>
      <c r="G14" s="3" t="s">
        <v>38</v>
      </c>
      <c r="H14" s="3" t="s">
        <v>52</v>
      </c>
      <c r="I14" s="3" t="s">
        <v>56</v>
      </c>
      <c r="J14" s="3" t="s">
        <v>58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160</v>
      </c>
      <c r="B15" s="3" t="s">
        <v>163</v>
      </c>
      <c r="C15" s="3" t="s">
        <v>37</v>
      </c>
      <c r="D15" s="3" t="s">
        <v>135</v>
      </c>
      <c r="E15" s="3" t="s">
        <v>164</v>
      </c>
      <c r="F15" s="3" t="s">
        <v>136</v>
      </c>
      <c r="G15" s="3" t="s">
        <v>38</v>
      </c>
      <c r="H15" s="3" t="s">
        <v>52</v>
      </c>
      <c r="I15" s="3" t="s">
        <v>56</v>
      </c>
      <c r="J15" s="3" t="s">
        <v>58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169</v>
      </c>
      <c r="B16" s="3" t="s">
        <v>170</v>
      </c>
      <c r="C16" s="3" t="s">
        <v>37</v>
      </c>
      <c r="D16" s="3" t="s">
        <v>135</v>
      </c>
      <c r="E16" s="3" t="s">
        <v>164</v>
      </c>
      <c r="F16" s="3" t="s">
        <v>136</v>
      </c>
      <c r="G16" s="3" t="s">
        <v>38</v>
      </c>
      <c r="H16" s="3" t="s">
        <v>52</v>
      </c>
      <c r="I16" s="3" t="s">
        <v>56</v>
      </c>
      <c r="J16" s="3" t="s">
        <v>58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177</v>
      </c>
      <c r="B17" s="3" t="s">
        <v>177</v>
      </c>
      <c r="C17" s="3" t="s">
        <v>39</v>
      </c>
      <c r="D17" s="3" t="s">
        <v>135</v>
      </c>
      <c r="E17" s="3" t="s">
        <v>164</v>
      </c>
      <c r="F17" s="3" t="s">
        <v>178</v>
      </c>
      <c r="G17" s="3" t="s">
        <v>38</v>
      </c>
      <c r="H17" s="3" t="s">
        <v>180</v>
      </c>
      <c r="I17" s="3" t="s">
        <v>56</v>
      </c>
      <c r="J17" s="3" t="s">
        <v>182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0"/>
    <col customWidth="1" min="2" max="2" width="20.0"/>
    <col customWidth="1" min="3" max="4" width="18.0"/>
    <col customWidth="1" min="5" max="6" width="42.0"/>
    <col customWidth="1" min="7" max="26" width="8.63"/>
  </cols>
  <sheetData>
    <row r="1">
      <c r="A1" s="1" t="s">
        <v>3</v>
      </c>
      <c r="B1" s="1" t="s">
        <v>6</v>
      </c>
      <c r="C1" s="1" t="s">
        <v>10</v>
      </c>
      <c r="D1" s="1" t="s">
        <v>25</v>
      </c>
      <c r="E1" s="1" t="s">
        <v>27</v>
      </c>
      <c r="F1" s="1" t="s">
        <v>32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50</v>
      </c>
      <c r="B2" s="3" t="s">
        <v>55</v>
      </c>
      <c r="C2" s="3" t="s">
        <v>59</v>
      </c>
      <c r="D2" s="3" t="s">
        <v>63</v>
      </c>
      <c r="E2" s="3" t="s">
        <v>65</v>
      </c>
      <c r="F2" s="3" t="s">
        <v>68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73</v>
      </c>
      <c r="B3" s="3" t="s">
        <v>55</v>
      </c>
      <c r="C3" s="3" t="s">
        <v>59</v>
      </c>
      <c r="D3" s="3" t="s">
        <v>63</v>
      </c>
      <c r="E3" s="3" t="s">
        <v>65</v>
      </c>
      <c r="F3" s="3" t="s">
        <v>68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84</v>
      </c>
      <c r="B4" s="3" t="s">
        <v>55</v>
      </c>
      <c r="C4" s="3" t="s">
        <v>59</v>
      </c>
      <c r="D4" s="3" t="s">
        <v>63</v>
      </c>
      <c r="E4" s="3" t="s">
        <v>65</v>
      </c>
      <c r="F4" s="3" t="s">
        <v>68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92</v>
      </c>
      <c r="B5" s="3" t="s">
        <v>55</v>
      </c>
      <c r="C5" s="3" t="s">
        <v>59</v>
      </c>
      <c r="D5" s="3" t="s">
        <v>63</v>
      </c>
      <c r="E5" s="3" t="s">
        <v>65</v>
      </c>
      <c r="F5" s="3" t="s">
        <v>68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100</v>
      </c>
      <c r="B6" s="3" t="s">
        <v>55</v>
      </c>
      <c r="C6" s="3" t="s">
        <v>59</v>
      </c>
      <c r="D6" s="3" t="s">
        <v>63</v>
      </c>
      <c r="E6" s="3" t="s">
        <v>65</v>
      </c>
      <c r="F6" s="3" t="s">
        <v>68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108</v>
      </c>
      <c r="B7" s="3" t="s">
        <v>55</v>
      </c>
      <c r="C7" s="3" t="s">
        <v>59</v>
      </c>
      <c r="D7" s="3" t="s">
        <v>63</v>
      </c>
      <c r="E7" s="3" t="s">
        <v>65</v>
      </c>
      <c r="F7" s="3" t="s">
        <v>68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115</v>
      </c>
      <c r="B8" s="3" t="s">
        <v>55</v>
      </c>
      <c r="C8" s="3" t="s">
        <v>59</v>
      </c>
      <c r="D8" s="3" t="s">
        <v>63</v>
      </c>
      <c r="E8" s="3" t="s">
        <v>65</v>
      </c>
      <c r="F8" s="3" t="s">
        <v>68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123</v>
      </c>
      <c r="B9" s="3" t="s">
        <v>55</v>
      </c>
      <c r="C9" s="3" t="s">
        <v>59</v>
      </c>
      <c r="D9" s="3" t="s">
        <v>63</v>
      </c>
      <c r="E9" s="3" t="s">
        <v>65</v>
      </c>
      <c r="F9" s="3" t="s">
        <v>68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130</v>
      </c>
      <c r="B10" s="3" t="s">
        <v>55</v>
      </c>
      <c r="C10" s="3" t="s">
        <v>59</v>
      </c>
      <c r="D10" s="3" t="s">
        <v>63</v>
      </c>
      <c r="E10" s="3" t="s">
        <v>65</v>
      </c>
      <c r="F10" s="3" t="s">
        <v>68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140</v>
      </c>
      <c r="B11" s="3" t="s">
        <v>55</v>
      </c>
      <c r="C11" s="3" t="s">
        <v>59</v>
      </c>
      <c r="D11" s="3" t="s">
        <v>63</v>
      </c>
      <c r="E11" s="3" t="s">
        <v>65</v>
      </c>
      <c r="F11" s="3" t="s">
        <v>68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148</v>
      </c>
      <c r="B12" s="3" t="s">
        <v>55</v>
      </c>
      <c r="C12" s="3" t="s">
        <v>59</v>
      </c>
      <c r="D12" s="3" t="s">
        <v>63</v>
      </c>
      <c r="E12" s="3" t="s">
        <v>65</v>
      </c>
      <c r="F12" s="3" t="s">
        <v>68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155</v>
      </c>
      <c r="B13" s="3" t="s">
        <v>55</v>
      </c>
      <c r="C13" s="3" t="s">
        <v>59</v>
      </c>
      <c r="D13" s="3" t="s">
        <v>63</v>
      </c>
      <c r="E13" s="3" t="s">
        <v>65</v>
      </c>
      <c r="F13" s="3" t="s">
        <v>68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162</v>
      </c>
      <c r="B14" s="3" t="s">
        <v>55</v>
      </c>
      <c r="C14" s="3" t="s">
        <v>59</v>
      </c>
      <c r="D14" s="3" t="s">
        <v>63</v>
      </c>
      <c r="E14" s="3" t="s">
        <v>65</v>
      </c>
      <c r="F14" s="3" t="s">
        <v>68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168</v>
      </c>
      <c r="B15" s="3" t="s">
        <v>55</v>
      </c>
      <c r="C15" s="3" t="s">
        <v>59</v>
      </c>
      <c r="D15" s="3" t="s">
        <v>63</v>
      </c>
      <c r="E15" s="3" t="s">
        <v>65</v>
      </c>
      <c r="F15" s="3" t="s">
        <v>68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176</v>
      </c>
      <c r="B16" s="3" t="s">
        <v>55</v>
      </c>
      <c r="C16" s="3" t="s">
        <v>59</v>
      </c>
      <c r="D16" s="3" t="s">
        <v>63</v>
      </c>
      <c r="E16" s="3" t="s">
        <v>65</v>
      </c>
      <c r="F16" s="3" t="s">
        <v>68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183</v>
      </c>
      <c r="B17" s="3" t="s">
        <v>55</v>
      </c>
      <c r="C17" s="3" t="s">
        <v>59</v>
      </c>
      <c r="D17" s="3" t="s">
        <v>63</v>
      </c>
      <c r="E17" s="3" t="s">
        <v>65</v>
      </c>
      <c r="F17" s="3" t="s">
        <v>68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187</v>
      </c>
      <c r="B18" s="3" t="s">
        <v>55</v>
      </c>
      <c r="C18" s="3" t="s">
        <v>59</v>
      </c>
      <c r="D18" s="3" t="s">
        <v>63</v>
      </c>
      <c r="E18" s="3" t="s">
        <v>65</v>
      </c>
      <c r="F18" s="3" t="s">
        <v>68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191</v>
      </c>
      <c r="B19" s="3" t="s">
        <v>55</v>
      </c>
      <c r="C19" s="3" t="s">
        <v>59</v>
      </c>
      <c r="D19" s="3" t="s">
        <v>63</v>
      </c>
      <c r="E19" s="3" t="s">
        <v>65</v>
      </c>
      <c r="F19" s="3" t="s">
        <v>68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194</v>
      </c>
      <c r="B20" s="3" t="s">
        <v>55</v>
      </c>
      <c r="C20" s="3" t="s">
        <v>59</v>
      </c>
      <c r="D20" s="3" t="s">
        <v>63</v>
      </c>
      <c r="E20" s="3" t="s">
        <v>65</v>
      </c>
      <c r="F20" s="3" t="s">
        <v>68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" t="s">
        <v>204</v>
      </c>
      <c r="B21" s="3" t="s">
        <v>37</v>
      </c>
      <c r="C21" s="3" t="s">
        <v>59</v>
      </c>
      <c r="D21" s="3" t="s">
        <v>63</v>
      </c>
      <c r="E21" s="3" t="s">
        <v>65</v>
      </c>
      <c r="F21" s="3" t="s">
        <v>68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" t="s">
        <v>211</v>
      </c>
      <c r="B22" s="3" t="s">
        <v>37</v>
      </c>
      <c r="C22" s="3" t="s">
        <v>59</v>
      </c>
      <c r="D22" s="3" t="s">
        <v>63</v>
      </c>
      <c r="E22" s="3" t="s">
        <v>65</v>
      </c>
      <c r="F22" s="3" t="s">
        <v>68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" t="s">
        <v>217</v>
      </c>
      <c r="B23" s="3" t="s">
        <v>55</v>
      </c>
      <c r="C23" s="3" t="s">
        <v>59</v>
      </c>
      <c r="D23" s="3" t="s">
        <v>63</v>
      </c>
      <c r="E23" s="3" t="s">
        <v>65</v>
      </c>
      <c r="F23" s="3" t="s">
        <v>68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" t="s">
        <v>224</v>
      </c>
      <c r="B24" s="3" t="s">
        <v>37</v>
      </c>
      <c r="C24" s="3" t="s">
        <v>59</v>
      </c>
      <c r="D24" s="3" t="s">
        <v>63</v>
      </c>
      <c r="E24" s="3" t="s">
        <v>65</v>
      </c>
      <c r="F24" s="3" t="s">
        <v>68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18.0"/>
    <col customWidth="1" min="3" max="3" width="38.0"/>
    <col customWidth="1" min="4" max="4" width="14.0"/>
    <col customWidth="1" min="5" max="5" width="25.0"/>
    <col customWidth="1" min="6" max="6" width="24.0"/>
    <col customWidth="1" min="7" max="7" width="44.0"/>
    <col customWidth="1" min="8" max="26" width="8.63"/>
  </cols>
  <sheetData>
    <row r="1">
      <c r="A1" s="1" t="s">
        <v>1</v>
      </c>
      <c r="B1" s="1" t="s">
        <v>4</v>
      </c>
      <c r="C1" s="1" t="s">
        <v>8</v>
      </c>
      <c r="D1" s="1" t="s">
        <v>11</v>
      </c>
      <c r="E1" s="1" t="s">
        <v>14</v>
      </c>
      <c r="F1" s="1" t="s">
        <v>16</v>
      </c>
      <c r="G1" s="1" t="s">
        <v>18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30</v>
      </c>
      <c r="B2" s="3" t="s">
        <v>34</v>
      </c>
      <c r="C2" s="3" t="s">
        <v>35</v>
      </c>
      <c r="D2" s="3" t="s">
        <v>38</v>
      </c>
      <c r="E2" s="3" t="s">
        <v>41</v>
      </c>
      <c r="F2" s="3" t="s">
        <v>43</v>
      </c>
      <c r="G2" s="3" t="s">
        <v>45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54</v>
      </c>
      <c r="B3" s="3" t="s">
        <v>57</v>
      </c>
      <c r="C3" s="3" t="s">
        <v>60</v>
      </c>
      <c r="D3" s="3" t="s">
        <v>61</v>
      </c>
      <c r="E3" s="3" t="s">
        <v>62</v>
      </c>
      <c r="F3" s="3" t="s">
        <v>64</v>
      </c>
      <c r="G3" s="3" t="s">
        <v>66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70</v>
      </c>
      <c r="B4" s="3" t="s">
        <v>57</v>
      </c>
      <c r="C4" s="3" t="s">
        <v>71</v>
      </c>
      <c r="D4" s="3" t="s">
        <v>63</v>
      </c>
      <c r="E4" s="3" t="s">
        <v>59</v>
      </c>
      <c r="F4" s="3" t="s">
        <v>43</v>
      </c>
      <c r="G4" s="3" t="s">
        <v>72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83</v>
      </c>
      <c r="B6" s="3" t="s">
        <v>77</v>
      </c>
      <c r="C6" s="3" t="s">
        <v>87</v>
      </c>
      <c r="D6" s="3" t="s">
        <v>79</v>
      </c>
      <c r="E6" s="3" t="s">
        <v>89</v>
      </c>
      <c r="F6" s="3" t="s">
        <v>81</v>
      </c>
      <c r="G6" s="3" t="s">
        <v>82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91</v>
      </c>
      <c r="B7" s="3" t="s">
        <v>77</v>
      </c>
      <c r="C7" s="3" t="s">
        <v>93</v>
      </c>
      <c r="D7" s="3" t="s">
        <v>79</v>
      </c>
      <c r="E7" s="3" t="s">
        <v>96</v>
      </c>
      <c r="F7" s="3" t="s">
        <v>81</v>
      </c>
      <c r="G7" s="3" t="s">
        <v>82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97</v>
      </c>
      <c r="B8" s="3" t="s">
        <v>77</v>
      </c>
      <c r="C8" s="3" t="s">
        <v>98</v>
      </c>
      <c r="D8" s="3" t="s">
        <v>79</v>
      </c>
      <c r="E8" s="3" t="s">
        <v>99</v>
      </c>
      <c r="F8" s="3" t="s">
        <v>81</v>
      </c>
      <c r="G8" s="3" t="s">
        <v>82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104</v>
      </c>
      <c r="B9" s="3" t="s">
        <v>77</v>
      </c>
      <c r="C9" s="3" t="s">
        <v>105</v>
      </c>
      <c r="D9" s="3" t="s">
        <v>79</v>
      </c>
      <c r="E9" s="3" t="s">
        <v>106</v>
      </c>
      <c r="F9" s="3" t="s">
        <v>81</v>
      </c>
      <c r="G9" s="3" t="s">
        <v>82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111</v>
      </c>
      <c r="B10" s="3" t="s">
        <v>77</v>
      </c>
      <c r="C10" s="3" t="s">
        <v>113</v>
      </c>
      <c r="D10" s="3" t="s">
        <v>79</v>
      </c>
      <c r="E10" s="3" t="s">
        <v>114</v>
      </c>
      <c r="F10" s="3" t="s">
        <v>81</v>
      </c>
      <c r="G10" s="3" t="s">
        <v>82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117</v>
      </c>
      <c r="B11" s="3" t="s">
        <v>77</v>
      </c>
      <c r="C11" s="3" t="s">
        <v>119</v>
      </c>
      <c r="D11" s="3" t="s">
        <v>79</v>
      </c>
      <c r="E11" s="3" t="s">
        <v>120</v>
      </c>
      <c r="F11" s="3" t="s">
        <v>81</v>
      </c>
      <c r="G11" s="3" t="s">
        <v>82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122</v>
      </c>
      <c r="B12" s="3" t="s">
        <v>77</v>
      </c>
      <c r="C12" s="3" t="s">
        <v>124</v>
      </c>
      <c r="D12" s="3" t="s">
        <v>79</v>
      </c>
      <c r="E12" s="3" t="s">
        <v>127</v>
      </c>
      <c r="F12" s="3" t="s">
        <v>81</v>
      </c>
      <c r="G12" s="3" t="s">
        <v>82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129</v>
      </c>
      <c r="B13" s="3" t="s">
        <v>77</v>
      </c>
      <c r="C13" s="3" t="s">
        <v>131</v>
      </c>
      <c r="D13" s="3" t="s">
        <v>79</v>
      </c>
      <c r="E13" s="3" t="s">
        <v>133</v>
      </c>
      <c r="F13" s="3" t="s">
        <v>81</v>
      </c>
      <c r="G13" s="3" t="s">
        <v>82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137</v>
      </c>
      <c r="B14" s="3" t="s">
        <v>77</v>
      </c>
      <c r="C14" s="3" t="s">
        <v>138</v>
      </c>
      <c r="D14" s="3" t="s">
        <v>79</v>
      </c>
      <c r="E14" s="3" t="s">
        <v>142</v>
      </c>
      <c r="F14" s="3" t="s">
        <v>81</v>
      </c>
      <c r="G14" s="3" t="s">
        <v>82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143</v>
      </c>
      <c r="B15" s="3" t="s">
        <v>77</v>
      </c>
      <c r="C15" s="3" t="s">
        <v>147</v>
      </c>
      <c r="D15" s="3" t="s">
        <v>79</v>
      </c>
      <c r="E15" s="3" t="s">
        <v>151</v>
      </c>
      <c r="F15" s="3" t="s">
        <v>81</v>
      </c>
      <c r="G15" s="3" t="s">
        <v>82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152</v>
      </c>
      <c r="B16" s="3" t="s">
        <v>77</v>
      </c>
      <c r="C16" s="3" t="s">
        <v>153</v>
      </c>
      <c r="D16" s="3" t="s">
        <v>79</v>
      </c>
      <c r="E16" s="3" t="s">
        <v>157</v>
      </c>
      <c r="F16" s="3" t="s">
        <v>81</v>
      </c>
      <c r="G16" s="3" t="s">
        <v>82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158</v>
      </c>
      <c r="B17" s="3" t="s">
        <v>77</v>
      </c>
      <c r="C17" s="3" t="s">
        <v>159</v>
      </c>
      <c r="D17" s="3" t="s">
        <v>79</v>
      </c>
      <c r="E17" s="3" t="s">
        <v>161</v>
      </c>
      <c r="F17" s="3" t="s">
        <v>81</v>
      </c>
      <c r="G17" s="3" t="s">
        <v>82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165</v>
      </c>
      <c r="B18" s="3" t="s">
        <v>77</v>
      </c>
      <c r="C18" s="3" t="s">
        <v>166</v>
      </c>
      <c r="D18" s="3" t="s">
        <v>79</v>
      </c>
      <c r="E18" s="3" t="s">
        <v>167</v>
      </c>
      <c r="F18" s="3" t="s">
        <v>81</v>
      </c>
      <c r="G18" s="3" t="s">
        <v>82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173</v>
      </c>
      <c r="B19" s="3" t="s">
        <v>77</v>
      </c>
      <c r="C19" s="3" t="s">
        <v>174</v>
      </c>
      <c r="D19" s="3" t="s">
        <v>79</v>
      </c>
      <c r="E19" s="3" t="s">
        <v>175</v>
      </c>
      <c r="F19" s="3" t="s">
        <v>81</v>
      </c>
      <c r="G19" s="3" t="s">
        <v>82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179</v>
      </c>
      <c r="B20" s="3" t="s">
        <v>77</v>
      </c>
      <c r="C20" s="3" t="s">
        <v>181</v>
      </c>
      <c r="D20" s="3" t="s">
        <v>79</v>
      </c>
      <c r="E20" s="3" t="s">
        <v>59</v>
      </c>
      <c r="F20" s="3" t="s">
        <v>81</v>
      </c>
      <c r="G20" s="3" t="s">
        <v>82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" t="s">
        <v>184</v>
      </c>
      <c r="B21" s="3" t="s">
        <v>77</v>
      </c>
      <c r="C21" s="3" t="s">
        <v>185</v>
      </c>
      <c r="D21" s="3" t="s">
        <v>79</v>
      </c>
      <c r="E21" s="3" t="s">
        <v>186</v>
      </c>
      <c r="F21" s="3" t="s">
        <v>81</v>
      </c>
      <c r="G21" s="3" t="s">
        <v>82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" t="s">
        <v>188</v>
      </c>
      <c r="B22" s="3" t="s">
        <v>77</v>
      </c>
      <c r="C22" s="3" t="s">
        <v>189</v>
      </c>
      <c r="D22" s="3" t="s">
        <v>79</v>
      </c>
      <c r="E22" s="3" t="s">
        <v>164</v>
      </c>
      <c r="F22" s="3" t="s">
        <v>81</v>
      </c>
      <c r="G22" s="3" t="s">
        <v>82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" t="s">
        <v>192</v>
      </c>
      <c r="B23" s="3" t="s">
        <v>77</v>
      </c>
      <c r="C23" s="3" t="s">
        <v>193</v>
      </c>
      <c r="D23" s="3" t="s">
        <v>79</v>
      </c>
      <c r="E23" s="3" t="s">
        <v>164</v>
      </c>
      <c r="F23" s="3" t="s">
        <v>81</v>
      </c>
      <c r="G23" s="3" t="s">
        <v>82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195</v>
      </c>
      <c r="B24" s="4" t="s">
        <v>77</v>
      </c>
      <c r="C24" s="4" t="s">
        <v>196</v>
      </c>
      <c r="D24" s="4" t="s">
        <v>79</v>
      </c>
      <c r="E24" s="4" t="s">
        <v>40</v>
      </c>
      <c r="F24" s="4" t="s">
        <v>197</v>
      </c>
      <c r="G24" s="4" t="s">
        <v>198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199</v>
      </c>
      <c r="B25" s="4" t="s">
        <v>77</v>
      </c>
      <c r="C25" s="4" t="s">
        <v>200</v>
      </c>
      <c r="D25" s="4" t="s">
        <v>79</v>
      </c>
      <c r="E25" s="4" t="s">
        <v>201</v>
      </c>
      <c r="F25" s="4" t="s">
        <v>202</v>
      </c>
      <c r="G25" s="4" t="s">
        <v>203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205</v>
      </c>
      <c r="B26" s="4" t="s">
        <v>77</v>
      </c>
      <c r="C26" s="4" t="s">
        <v>206</v>
      </c>
      <c r="D26" s="4" t="s">
        <v>79</v>
      </c>
      <c r="E26" s="4" t="s">
        <v>207</v>
      </c>
      <c r="F26" s="4" t="s">
        <v>202</v>
      </c>
      <c r="G26" s="4" t="s">
        <v>203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208</v>
      </c>
      <c r="B27" s="4" t="s">
        <v>77</v>
      </c>
      <c r="C27" s="4" t="s">
        <v>209</v>
      </c>
      <c r="D27" s="4" t="s">
        <v>79</v>
      </c>
      <c r="E27" s="4" t="s">
        <v>210</v>
      </c>
      <c r="F27" s="4" t="s">
        <v>197</v>
      </c>
      <c r="G27" s="4" t="s">
        <v>203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212</v>
      </c>
      <c r="B28" s="4" t="s">
        <v>77</v>
      </c>
      <c r="C28" s="4" t="s">
        <v>213</v>
      </c>
      <c r="D28" s="4" t="s">
        <v>79</v>
      </c>
      <c r="E28" s="4" t="s">
        <v>215</v>
      </c>
      <c r="F28" s="4" t="s">
        <v>197</v>
      </c>
      <c r="G28" s="4" t="s">
        <v>203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216</v>
      </c>
      <c r="B29" s="4" t="s">
        <v>77</v>
      </c>
      <c r="C29" s="4" t="s">
        <v>218</v>
      </c>
      <c r="D29" s="4" t="s">
        <v>79</v>
      </c>
      <c r="E29" s="4" t="s">
        <v>219</v>
      </c>
      <c r="F29" s="4" t="s">
        <v>202</v>
      </c>
      <c r="G29" s="4" t="s">
        <v>203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220</v>
      </c>
      <c r="B30" s="4" t="s">
        <v>77</v>
      </c>
      <c r="C30" s="4" t="s">
        <v>221</v>
      </c>
      <c r="D30" s="4" t="s">
        <v>79</v>
      </c>
      <c r="E30" s="4" t="s">
        <v>222</v>
      </c>
      <c r="F30" s="4" t="s">
        <v>223</v>
      </c>
      <c r="G30" s="4" t="s">
        <v>203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225</v>
      </c>
      <c r="B31" s="4" t="s">
        <v>77</v>
      </c>
      <c r="C31" s="4" t="s">
        <v>226</v>
      </c>
      <c r="D31" s="4" t="s">
        <v>79</v>
      </c>
      <c r="E31" s="4" t="s">
        <v>227</v>
      </c>
      <c r="F31" s="4" t="s">
        <v>197</v>
      </c>
      <c r="G31" s="4" t="s">
        <v>203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228</v>
      </c>
      <c r="B32" s="4" t="s">
        <v>77</v>
      </c>
      <c r="C32" s="4" t="s">
        <v>229</v>
      </c>
      <c r="D32" s="4" t="s">
        <v>79</v>
      </c>
      <c r="E32" s="4" t="s">
        <v>230</v>
      </c>
      <c r="F32" s="4" t="s">
        <v>231</v>
      </c>
      <c r="G32" s="4" t="s">
        <v>232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233</v>
      </c>
      <c r="B33" s="4" t="s">
        <v>234</v>
      </c>
      <c r="C33" s="4" t="s">
        <v>235</v>
      </c>
      <c r="D33" s="4" t="s">
        <v>61</v>
      </c>
      <c r="E33" s="4" t="s">
        <v>236</v>
      </c>
      <c r="F33" s="4" t="s">
        <v>43</v>
      </c>
      <c r="G33" s="4" t="s">
        <v>237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0"/>
    <col customWidth="1" min="2" max="2" width="70.0"/>
    <col customWidth="1" min="3" max="26" width="8.63"/>
  </cols>
  <sheetData>
    <row r="1">
      <c r="A1" s="1" t="s">
        <v>274</v>
      </c>
      <c r="B1" s="1" t="s">
        <v>278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285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 t="s">
        <v>7</v>
      </c>
      <c r="B3" s="3" t="s">
        <v>290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 t="s">
        <v>6</v>
      </c>
      <c r="B4" s="3" t="s">
        <v>294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 t="s">
        <v>12</v>
      </c>
      <c r="B5" s="3" t="s">
        <v>296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 t="s">
        <v>17</v>
      </c>
      <c r="B6" s="3" t="s">
        <v>299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 t="s">
        <v>19</v>
      </c>
      <c r="B7" s="3" t="s">
        <v>304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 t="s">
        <v>20</v>
      </c>
      <c r="B8" s="3" t="s">
        <v>307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 t="s">
        <v>21</v>
      </c>
      <c r="B9" s="3" t="s">
        <v>312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 t="s">
        <v>23</v>
      </c>
      <c r="B10" s="3" t="s">
        <v>313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 t="s">
        <v>24</v>
      </c>
      <c r="B11" s="3" t="s">
        <v>317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 t="s">
        <v>26</v>
      </c>
      <c r="B12" s="3" t="s">
        <v>319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 t="s">
        <v>28</v>
      </c>
      <c r="B13" s="3" t="s">
        <v>322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29</v>
      </c>
      <c r="B14" s="3" t="s">
        <v>326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24.0"/>
    <col customWidth="1" min="3" max="3" width="28.0"/>
    <col customWidth="1" min="4" max="4" width="22.0"/>
    <col customWidth="1" min="5" max="5" width="55.0"/>
    <col customWidth="1" min="6" max="6" width="14.0"/>
    <col customWidth="1" min="7" max="7" width="24.0"/>
    <col customWidth="1" min="8" max="26" width="8.63"/>
  </cols>
  <sheetData>
    <row r="1">
      <c r="A1" s="6" t="s">
        <v>3</v>
      </c>
      <c r="B1" s="6" t="s">
        <v>6</v>
      </c>
      <c r="C1" s="6" t="s">
        <v>275</v>
      </c>
      <c r="D1" s="6" t="s">
        <v>276</v>
      </c>
      <c r="E1" s="6" t="s">
        <v>24</v>
      </c>
      <c r="F1" s="6" t="s">
        <v>277</v>
      </c>
      <c r="G1" s="6" t="s">
        <v>15</v>
      </c>
    </row>
    <row r="2">
      <c r="A2" s="7" t="s">
        <v>279</v>
      </c>
      <c r="B2" s="7" t="s">
        <v>37</v>
      </c>
      <c r="C2" s="7" t="s">
        <v>135</v>
      </c>
      <c r="D2" s="7" t="s">
        <v>280</v>
      </c>
      <c r="E2" s="7" t="s">
        <v>281</v>
      </c>
      <c r="F2" s="7" t="s">
        <v>61</v>
      </c>
      <c r="G2" s="7" t="s">
        <v>282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284</v>
      </c>
      <c r="B3" s="7" t="s">
        <v>37</v>
      </c>
      <c r="C3" s="7" t="s">
        <v>135</v>
      </c>
      <c r="D3" s="7" t="s">
        <v>280</v>
      </c>
      <c r="E3" s="7" t="s">
        <v>281</v>
      </c>
      <c r="F3" s="7" t="s">
        <v>61</v>
      </c>
      <c r="G3" s="7" t="s">
        <v>282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286</v>
      </c>
      <c r="B4" s="7" t="s">
        <v>287</v>
      </c>
      <c r="C4" s="7" t="s">
        <v>135</v>
      </c>
      <c r="D4" s="7" t="s">
        <v>280</v>
      </c>
      <c r="E4" s="7" t="s">
        <v>281</v>
      </c>
      <c r="F4" s="7" t="s">
        <v>61</v>
      </c>
      <c r="G4" s="7" t="s">
        <v>282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288</v>
      </c>
      <c r="B5" s="7" t="s">
        <v>287</v>
      </c>
      <c r="C5" s="7" t="s">
        <v>289</v>
      </c>
      <c r="D5" s="7" t="s">
        <v>280</v>
      </c>
      <c r="E5" s="7" t="s">
        <v>281</v>
      </c>
      <c r="F5" s="7" t="s">
        <v>61</v>
      </c>
      <c r="G5" s="7" t="s">
        <v>282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291</v>
      </c>
      <c r="B6" s="7" t="s">
        <v>37</v>
      </c>
      <c r="C6" s="7" t="s">
        <v>292</v>
      </c>
      <c r="D6" s="7" t="s">
        <v>280</v>
      </c>
      <c r="E6" s="7" t="s">
        <v>281</v>
      </c>
      <c r="F6" s="7" t="s">
        <v>61</v>
      </c>
      <c r="G6" s="7" t="s">
        <v>282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293</v>
      </c>
      <c r="B7" s="7" t="s">
        <v>55</v>
      </c>
      <c r="C7" s="7" t="s">
        <v>151</v>
      </c>
      <c r="D7" s="7" t="s">
        <v>280</v>
      </c>
      <c r="E7" s="7" t="s">
        <v>281</v>
      </c>
      <c r="F7" s="7" t="s">
        <v>61</v>
      </c>
      <c r="G7" s="7" t="s">
        <v>282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295</v>
      </c>
      <c r="B8" s="7" t="s">
        <v>55</v>
      </c>
      <c r="C8" s="7" t="s">
        <v>151</v>
      </c>
      <c r="D8" s="7" t="s">
        <v>280</v>
      </c>
      <c r="E8" s="7" t="s">
        <v>281</v>
      </c>
      <c r="F8" s="7" t="s">
        <v>61</v>
      </c>
      <c r="G8" s="7" t="s">
        <v>282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297</v>
      </c>
      <c r="B9" s="7" t="s">
        <v>298</v>
      </c>
      <c r="C9" s="7" t="s">
        <v>151</v>
      </c>
      <c r="D9" s="7" t="s">
        <v>280</v>
      </c>
      <c r="E9" s="7"/>
      <c r="F9" s="7" t="s">
        <v>61</v>
      </c>
      <c r="G9" s="7" t="s">
        <v>282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300</v>
      </c>
      <c r="B10" s="7" t="s">
        <v>55</v>
      </c>
      <c r="C10" s="7" t="s">
        <v>301</v>
      </c>
      <c r="D10" s="7" t="s">
        <v>280</v>
      </c>
      <c r="E10" s="7" t="s">
        <v>281</v>
      </c>
      <c r="F10" s="7" t="s">
        <v>61</v>
      </c>
      <c r="G10" s="7" t="s">
        <v>282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303</v>
      </c>
      <c r="B11" s="7" t="s">
        <v>55</v>
      </c>
      <c r="C11" s="7" t="s">
        <v>151</v>
      </c>
      <c r="D11" s="7" t="s">
        <v>280</v>
      </c>
      <c r="E11" s="7" t="s">
        <v>281</v>
      </c>
      <c r="F11" s="7" t="s">
        <v>61</v>
      </c>
      <c r="G11" s="7" t="s">
        <v>282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305</v>
      </c>
      <c r="B12" s="7" t="s">
        <v>37</v>
      </c>
      <c r="C12" s="7" t="s">
        <v>301</v>
      </c>
      <c r="D12" s="7" t="s">
        <v>280</v>
      </c>
      <c r="E12" s="7" t="s">
        <v>281</v>
      </c>
      <c r="F12" s="7" t="s">
        <v>61</v>
      </c>
      <c r="G12" s="7" t="s">
        <v>282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306</v>
      </c>
      <c r="B13" s="7" t="s">
        <v>287</v>
      </c>
      <c r="C13" s="7" t="s">
        <v>40</v>
      </c>
      <c r="D13" s="7" t="s">
        <v>280</v>
      </c>
      <c r="E13" s="7" t="s">
        <v>281</v>
      </c>
      <c r="F13" s="7" t="s">
        <v>61</v>
      </c>
      <c r="G13" s="7" t="s">
        <v>282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308</v>
      </c>
      <c r="B14" s="7" t="s">
        <v>287</v>
      </c>
      <c r="C14" s="7" t="s">
        <v>40</v>
      </c>
      <c r="D14" s="7" t="s">
        <v>280</v>
      </c>
      <c r="E14" s="7" t="s">
        <v>281</v>
      </c>
      <c r="F14" s="7" t="s">
        <v>61</v>
      </c>
      <c r="G14" s="7" t="s">
        <v>282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309</v>
      </c>
      <c r="B15" s="7" t="s">
        <v>150</v>
      </c>
      <c r="C15" s="7" t="s">
        <v>151</v>
      </c>
      <c r="D15" s="7" t="s">
        <v>280</v>
      </c>
      <c r="E15" s="7" t="s">
        <v>310</v>
      </c>
      <c r="F15" s="7" t="s">
        <v>61</v>
      </c>
      <c r="G15" s="7" t="s">
        <v>282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 t="s">
        <v>311</v>
      </c>
      <c r="B16" s="7" t="s">
        <v>150</v>
      </c>
      <c r="C16" s="7" t="s">
        <v>135</v>
      </c>
      <c r="D16" s="7" t="s">
        <v>280</v>
      </c>
      <c r="E16" s="9" t="s">
        <v>310</v>
      </c>
      <c r="F16" s="7" t="s">
        <v>61</v>
      </c>
      <c r="G16" s="7" t="s">
        <v>282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 t="s">
        <v>316</v>
      </c>
      <c r="B17" s="7" t="s">
        <v>150</v>
      </c>
      <c r="C17" s="7" t="s">
        <v>135</v>
      </c>
      <c r="D17" s="7" t="s">
        <v>280</v>
      </c>
      <c r="E17" s="7" t="s">
        <v>310</v>
      </c>
      <c r="F17" s="7" t="s">
        <v>61</v>
      </c>
      <c r="G17" s="7" t="s">
        <v>282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 t="s">
        <v>318</v>
      </c>
      <c r="B18" s="7" t="s">
        <v>150</v>
      </c>
      <c r="C18" s="7" t="s">
        <v>40</v>
      </c>
      <c r="D18" s="7" t="s">
        <v>280</v>
      </c>
      <c r="E18" s="7" t="s">
        <v>310</v>
      </c>
      <c r="F18" s="7" t="s">
        <v>61</v>
      </c>
      <c r="G18" s="7" t="s">
        <v>282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 t="s">
        <v>320</v>
      </c>
      <c r="B19" s="7" t="s">
        <v>321</v>
      </c>
      <c r="C19" s="7" t="s">
        <v>135</v>
      </c>
      <c r="D19" s="7" t="s">
        <v>280</v>
      </c>
      <c r="E19" s="7" t="s">
        <v>310</v>
      </c>
      <c r="F19" s="7" t="s">
        <v>61</v>
      </c>
      <c r="G19" s="7" t="s">
        <v>282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 t="s">
        <v>323</v>
      </c>
      <c r="B20" s="7" t="s">
        <v>324</v>
      </c>
      <c r="C20" s="7" t="s">
        <v>62</v>
      </c>
      <c r="D20" s="7" t="s">
        <v>280</v>
      </c>
      <c r="E20" s="7" t="s">
        <v>325</v>
      </c>
      <c r="F20" s="7" t="s">
        <v>61</v>
      </c>
      <c r="G20" s="7" t="s">
        <v>282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 t="s">
        <v>327</v>
      </c>
      <c r="B21" s="7" t="s">
        <v>110</v>
      </c>
      <c r="C21" s="7" t="s">
        <v>328</v>
      </c>
      <c r="D21" s="7" t="s">
        <v>280</v>
      </c>
      <c r="E21" s="7" t="s">
        <v>325</v>
      </c>
      <c r="F21" s="7" t="s">
        <v>61</v>
      </c>
      <c r="G21" s="7" t="s">
        <v>282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 t="s">
        <v>329</v>
      </c>
      <c r="B22" s="7" t="s">
        <v>324</v>
      </c>
      <c r="C22" s="7" t="s">
        <v>330</v>
      </c>
      <c r="D22" s="7" t="s">
        <v>280</v>
      </c>
      <c r="E22" s="7" t="s">
        <v>325</v>
      </c>
      <c r="F22" s="7" t="s">
        <v>61</v>
      </c>
      <c r="G22" s="7" t="s">
        <v>282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 t="s">
        <v>332</v>
      </c>
      <c r="B23" s="7" t="s">
        <v>110</v>
      </c>
      <c r="C23" s="7" t="s">
        <v>328</v>
      </c>
      <c r="D23" s="7" t="s">
        <v>280</v>
      </c>
      <c r="E23" s="7" t="s">
        <v>325</v>
      </c>
      <c r="F23" s="7" t="s">
        <v>61</v>
      </c>
      <c r="G23" s="7" t="s">
        <v>282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 t="s">
        <v>333</v>
      </c>
      <c r="B24" s="7" t="s">
        <v>110</v>
      </c>
      <c r="C24" s="7" t="s">
        <v>334</v>
      </c>
      <c r="D24" s="7" t="s">
        <v>280</v>
      </c>
      <c r="E24" s="7" t="s">
        <v>325</v>
      </c>
      <c r="F24" s="7" t="s">
        <v>61</v>
      </c>
      <c r="G24" s="7" t="s">
        <v>282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 t="s">
        <v>335</v>
      </c>
      <c r="B25" s="7" t="s">
        <v>324</v>
      </c>
      <c r="C25" s="7" t="s">
        <v>336</v>
      </c>
      <c r="D25" s="7" t="s">
        <v>280</v>
      </c>
      <c r="E25" s="7" t="s">
        <v>325</v>
      </c>
      <c r="F25" s="7" t="s">
        <v>61</v>
      </c>
      <c r="G25" s="7" t="s">
        <v>282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 t="s">
        <v>337</v>
      </c>
      <c r="B26" s="7" t="s">
        <v>110</v>
      </c>
      <c r="C26" s="7" t="s">
        <v>135</v>
      </c>
      <c r="D26" s="7" t="s">
        <v>280</v>
      </c>
      <c r="E26" s="7" t="s">
        <v>325</v>
      </c>
      <c r="F26" s="7" t="s">
        <v>61</v>
      </c>
      <c r="G26" s="7" t="s">
        <v>282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 t="s">
        <v>338</v>
      </c>
      <c r="B27" s="7" t="s">
        <v>324</v>
      </c>
      <c r="C27" s="7" t="s">
        <v>339</v>
      </c>
      <c r="D27" s="7" t="s">
        <v>280</v>
      </c>
      <c r="E27" s="7" t="s">
        <v>325</v>
      </c>
      <c r="F27" s="7" t="s">
        <v>61</v>
      </c>
      <c r="G27" s="7" t="s">
        <v>282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 t="s">
        <v>340</v>
      </c>
      <c r="B28" s="7" t="s">
        <v>341</v>
      </c>
      <c r="C28" s="7" t="s">
        <v>40</v>
      </c>
      <c r="D28" s="7" t="s">
        <v>280</v>
      </c>
      <c r="E28" s="7" t="s">
        <v>325</v>
      </c>
      <c r="F28" s="7" t="s">
        <v>61</v>
      </c>
      <c r="G28" s="7" t="s">
        <v>282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 t="s">
        <v>342</v>
      </c>
      <c r="B29" s="7" t="s">
        <v>341</v>
      </c>
      <c r="C29" s="7" t="s">
        <v>40</v>
      </c>
      <c r="D29" s="7" t="s">
        <v>280</v>
      </c>
      <c r="E29" s="7" t="s">
        <v>325</v>
      </c>
      <c r="F29" s="7" t="s">
        <v>61</v>
      </c>
      <c r="G29" s="7" t="s">
        <v>282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 t="s">
        <v>343</v>
      </c>
      <c r="B30" s="7" t="s">
        <v>344</v>
      </c>
      <c r="C30" s="7" t="s">
        <v>40</v>
      </c>
      <c r="D30" s="7" t="s">
        <v>280</v>
      </c>
      <c r="E30" s="7" t="s">
        <v>325</v>
      </c>
      <c r="F30" s="7" t="s">
        <v>61</v>
      </c>
      <c r="G30" s="7" t="s">
        <v>282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 t="s">
        <v>346</v>
      </c>
      <c r="B31" s="7" t="s">
        <v>344</v>
      </c>
      <c r="C31" s="7" t="s">
        <v>40</v>
      </c>
      <c r="D31" s="7" t="s">
        <v>280</v>
      </c>
      <c r="E31" s="7" t="s">
        <v>325</v>
      </c>
      <c r="F31" s="7" t="s">
        <v>61</v>
      </c>
      <c r="G31" s="7" t="s">
        <v>282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 t="s">
        <v>347</v>
      </c>
      <c r="B32" s="7" t="s">
        <v>344</v>
      </c>
      <c r="C32" s="7" t="s">
        <v>40</v>
      </c>
      <c r="D32" s="7" t="s">
        <v>280</v>
      </c>
      <c r="E32" s="7" t="s">
        <v>325</v>
      </c>
      <c r="F32" s="7" t="s">
        <v>61</v>
      </c>
      <c r="G32" s="7" t="s">
        <v>282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 t="s">
        <v>348</v>
      </c>
      <c r="B33" s="7" t="s">
        <v>341</v>
      </c>
      <c r="C33" s="7" t="s">
        <v>40</v>
      </c>
      <c r="D33" s="7" t="s">
        <v>280</v>
      </c>
      <c r="E33" s="7" t="s">
        <v>325</v>
      </c>
      <c r="F33" s="7" t="s">
        <v>61</v>
      </c>
      <c r="G33" s="7" t="s">
        <v>282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 t="s">
        <v>349</v>
      </c>
      <c r="B34" s="7" t="s">
        <v>350</v>
      </c>
      <c r="C34" s="7" t="s">
        <v>351</v>
      </c>
      <c r="D34" s="7" t="s">
        <v>280</v>
      </c>
      <c r="E34" s="7" t="s">
        <v>352</v>
      </c>
      <c r="F34" s="7" t="s">
        <v>61</v>
      </c>
      <c r="G34" s="7" t="s">
        <v>282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 t="s">
        <v>353</v>
      </c>
      <c r="B35" s="7" t="s">
        <v>350</v>
      </c>
      <c r="C35" s="7" t="s">
        <v>151</v>
      </c>
      <c r="D35" s="7" t="s">
        <v>280</v>
      </c>
      <c r="E35" s="7" t="s">
        <v>352</v>
      </c>
      <c r="F35" s="7" t="s">
        <v>61</v>
      </c>
      <c r="G35" s="7" t="s">
        <v>282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 t="s">
        <v>354</v>
      </c>
      <c r="B36" s="7" t="s">
        <v>350</v>
      </c>
      <c r="C36" s="7" t="s">
        <v>355</v>
      </c>
      <c r="D36" s="7" t="s">
        <v>280</v>
      </c>
      <c r="E36" s="7" t="s">
        <v>352</v>
      </c>
      <c r="F36" s="7" t="s">
        <v>61</v>
      </c>
      <c r="G36" s="7" t="s">
        <v>282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 t="s">
        <v>356</v>
      </c>
      <c r="B37" s="7" t="s">
        <v>324</v>
      </c>
      <c r="C37" s="7" t="s">
        <v>357</v>
      </c>
      <c r="D37" s="7" t="s">
        <v>280</v>
      </c>
      <c r="E37" s="7" t="s">
        <v>325</v>
      </c>
      <c r="F37" s="7" t="s">
        <v>61</v>
      </c>
      <c r="G37" s="7" t="s">
        <v>282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 t="s">
        <v>191</v>
      </c>
      <c r="B38" s="7" t="s">
        <v>260</v>
      </c>
      <c r="C38" s="7" t="s">
        <v>40</v>
      </c>
      <c r="D38" s="7" t="s">
        <v>280</v>
      </c>
      <c r="E38" s="7" t="s">
        <v>358</v>
      </c>
      <c r="F38" s="7" t="s">
        <v>61</v>
      </c>
      <c r="G38" s="7" t="s">
        <v>282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 t="s">
        <v>360</v>
      </c>
      <c r="B39" s="7" t="s">
        <v>361</v>
      </c>
      <c r="C39" s="7" t="s">
        <v>135</v>
      </c>
      <c r="D39" s="7" t="s">
        <v>280</v>
      </c>
      <c r="E39" s="7" t="s">
        <v>358</v>
      </c>
      <c r="F39" s="7" t="s">
        <v>61</v>
      </c>
      <c r="G39" s="7" t="s">
        <v>282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 t="s">
        <v>362</v>
      </c>
      <c r="B40" s="7" t="s">
        <v>361</v>
      </c>
      <c r="C40" s="7" t="s">
        <v>135</v>
      </c>
      <c r="D40" s="7" t="s">
        <v>280</v>
      </c>
      <c r="E40" s="7" t="s">
        <v>358</v>
      </c>
      <c r="F40" s="7" t="s">
        <v>61</v>
      </c>
      <c r="G40" s="7" t="s">
        <v>282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 t="s">
        <v>363</v>
      </c>
      <c r="B41" s="7" t="s">
        <v>88</v>
      </c>
      <c r="C41" s="7" t="s">
        <v>135</v>
      </c>
      <c r="D41" s="7" t="s">
        <v>280</v>
      </c>
      <c r="E41" s="7" t="s">
        <v>364</v>
      </c>
      <c r="F41" s="7" t="s">
        <v>61</v>
      </c>
      <c r="G41" s="7" t="s">
        <v>282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 t="s">
        <v>365</v>
      </c>
      <c r="B42" s="7" t="s">
        <v>88</v>
      </c>
      <c r="C42" s="7" t="s">
        <v>135</v>
      </c>
      <c r="D42" s="7" t="s">
        <v>280</v>
      </c>
      <c r="E42" s="7" t="s">
        <v>364</v>
      </c>
      <c r="F42" s="7" t="s">
        <v>61</v>
      </c>
      <c r="G42" s="7" t="s">
        <v>282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 t="s">
        <v>366</v>
      </c>
      <c r="B43" s="7" t="s">
        <v>88</v>
      </c>
      <c r="C43" s="7" t="s">
        <v>135</v>
      </c>
      <c r="D43" s="7" t="s">
        <v>280</v>
      </c>
      <c r="E43" s="7" t="s">
        <v>364</v>
      </c>
      <c r="F43" s="7" t="s">
        <v>61</v>
      </c>
      <c r="G43" s="7" t="s">
        <v>282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 t="s">
        <v>367</v>
      </c>
      <c r="B44" s="7" t="s">
        <v>88</v>
      </c>
      <c r="C44" s="7" t="s">
        <v>135</v>
      </c>
      <c r="D44" s="7" t="s">
        <v>280</v>
      </c>
      <c r="E44" s="7" t="s">
        <v>364</v>
      </c>
      <c r="F44" s="7" t="s">
        <v>61</v>
      </c>
      <c r="G44" s="7" t="s">
        <v>282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 t="s">
        <v>372</v>
      </c>
      <c r="B45" s="7" t="s">
        <v>88</v>
      </c>
      <c r="C45" s="7" t="s">
        <v>135</v>
      </c>
      <c r="D45" s="7" t="s">
        <v>280</v>
      </c>
      <c r="E45" s="7" t="s">
        <v>364</v>
      </c>
      <c r="F45" s="7" t="s">
        <v>61</v>
      </c>
      <c r="G45" s="7" t="s">
        <v>282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 t="s">
        <v>374</v>
      </c>
      <c r="B46" s="7" t="s">
        <v>375</v>
      </c>
      <c r="C46" s="7" t="s">
        <v>40</v>
      </c>
      <c r="D46" s="7" t="s">
        <v>280</v>
      </c>
      <c r="E46" s="7" t="s">
        <v>376</v>
      </c>
      <c r="F46" s="7" t="s">
        <v>61</v>
      </c>
      <c r="G46" s="7" t="s">
        <v>282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 t="s">
        <v>377</v>
      </c>
      <c r="B47" s="7" t="s">
        <v>378</v>
      </c>
      <c r="C47" s="7" t="s">
        <v>151</v>
      </c>
      <c r="D47" s="7" t="s">
        <v>280</v>
      </c>
      <c r="E47" s="7" t="s">
        <v>379</v>
      </c>
      <c r="F47" s="7" t="s">
        <v>61</v>
      </c>
      <c r="G47" s="7" t="s">
        <v>282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 t="s">
        <v>381</v>
      </c>
      <c r="B48" s="7" t="s">
        <v>378</v>
      </c>
      <c r="C48" s="7" t="s">
        <v>336</v>
      </c>
      <c r="D48" s="7" t="s">
        <v>280</v>
      </c>
      <c r="E48" s="7" t="s">
        <v>379</v>
      </c>
      <c r="F48" s="7" t="s">
        <v>61</v>
      </c>
      <c r="G48" s="7" t="s">
        <v>282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 t="s">
        <v>383</v>
      </c>
      <c r="B49" s="7" t="s">
        <v>378</v>
      </c>
      <c r="C49" s="7" t="s">
        <v>336</v>
      </c>
      <c r="D49" s="7" t="s">
        <v>280</v>
      </c>
      <c r="E49" s="7" t="s">
        <v>379</v>
      </c>
      <c r="F49" s="7" t="s">
        <v>61</v>
      </c>
      <c r="G49" s="7" t="s">
        <v>282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 t="s">
        <v>385</v>
      </c>
      <c r="B50" s="7" t="s">
        <v>252</v>
      </c>
      <c r="C50" s="7" t="s">
        <v>40</v>
      </c>
      <c r="D50" s="7" t="s">
        <v>280</v>
      </c>
      <c r="E50" s="7" t="s">
        <v>379</v>
      </c>
      <c r="F50" s="7" t="s">
        <v>61</v>
      </c>
      <c r="G50" s="7" t="s">
        <v>282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 t="s">
        <v>386</v>
      </c>
      <c r="B51" s="7" t="s">
        <v>387</v>
      </c>
      <c r="C51" s="7" t="s">
        <v>40</v>
      </c>
      <c r="D51" s="7" t="s">
        <v>280</v>
      </c>
      <c r="E51" s="7" t="s">
        <v>379</v>
      </c>
      <c r="F51" s="7" t="s">
        <v>61</v>
      </c>
      <c r="G51" s="7" t="s">
        <v>282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 t="s">
        <v>390</v>
      </c>
      <c r="B52" s="7" t="s">
        <v>391</v>
      </c>
      <c r="C52" s="7" t="s">
        <v>40</v>
      </c>
      <c r="D52" s="7" t="s">
        <v>280</v>
      </c>
      <c r="E52" s="7" t="s">
        <v>379</v>
      </c>
      <c r="F52" s="7" t="s">
        <v>61</v>
      </c>
      <c r="G52" s="7" t="s">
        <v>282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 t="s">
        <v>108</v>
      </c>
      <c r="B53" s="7" t="s">
        <v>392</v>
      </c>
      <c r="C53" s="7" t="s">
        <v>40</v>
      </c>
      <c r="D53" s="7" t="s">
        <v>280</v>
      </c>
      <c r="E53" s="7" t="s">
        <v>379</v>
      </c>
      <c r="F53" s="7" t="s">
        <v>61</v>
      </c>
      <c r="G53" s="7" t="s">
        <v>282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 t="s">
        <v>394</v>
      </c>
      <c r="B54" s="7" t="s">
        <v>395</v>
      </c>
      <c r="C54" s="7" t="s">
        <v>396</v>
      </c>
      <c r="D54" s="7" t="s">
        <v>280</v>
      </c>
      <c r="E54" s="7" t="s">
        <v>397</v>
      </c>
      <c r="F54" s="7" t="s">
        <v>61</v>
      </c>
      <c r="G54" s="7" t="s">
        <v>282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 t="s">
        <v>398</v>
      </c>
      <c r="B55" s="7" t="s">
        <v>255</v>
      </c>
      <c r="C55" s="7" t="s">
        <v>399</v>
      </c>
      <c r="D55" s="7" t="s">
        <v>280</v>
      </c>
      <c r="E55" s="7" t="s">
        <v>400</v>
      </c>
      <c r="F55" s="7" t="s">
        <v>61</v>
      </c>
      <c r="G55" s="7" t="s">
        <v>282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 t="s">
        <v>401</v>
      </c>
      <c r="B56" s="7" t="s">
        <v>255</v>
      </c>
      <c r="C56" s="7" t="s">
        <v>399</v>
      </c>
      <c r="D56" s="7" t="s">
        <v>280</v>
      </c>
      <c r="E56" s="7" t="s">
        <v>400</v>
      </c>
      <c r="F56" s="7" t="s">
        <v>61</v>
      </c>
      <c r="G56" s="7" t="s">
        <v>282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 t="s">
        <v>402</v>
      </c>
      <c r="B57" s="7" t="s">
        <v>255</v>
      </c>
      <c r="C57" s="7" t="s">
        <v>399</v>
      </c>
      <c r="D57" s="7" t="s">
        <v>280</v>
      </c>
      <c r="E57" s="7" t="s">
        <v>400</v>
      </c>
      <c r="F57" s="7" t="s">
        <v>61</v>
      </c>
      <c r="G57" s="7" t="s">
        <v>282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 t="s">
        <v>403</v>
      </c>
      <c r="B58" s="7" t="s">
        <v>404</v>
      </c>
      <c r="C58" s="7" t="s">
        <v>135</v>
      </c>
      <c r="D58" s="7" t="s">
        <v>280</v>
      </c>
      <c r="E58" s="7" t="s">
        <v>400</v>
      </c>
      <c r="F58" s="7" t="s">
        <v>61</v>
      </c>
      <c r="G58" s="7" t="s">
        <v>282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 t="s">
        <v>405</v>
      </c>
      <c r="B59" s="7" t="s">
        <v>404</v>
      </c>
      <c r="C59" s="7" t="s">
        <v>406</v>
      </c>
      <c r="D59" s="7" t="s">
        <v>280</v>
      </c>
      <c r="E59" s="7" t="s">
        <v>400</v>
      </c>
      <c r="F59" s="7" t="s">
        <v>61</v>
      </c>
      <c r="G59" s="7" t="s">
        <v>282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 t="s">
        <v>407</v>
      </c>
      <c r="B60" s="7" t="s">
        <v>404</v>
      </c>
      <c r="C60" s="7" t="s">
        <v>135</v>
      </c>
      <c r="D60" s="7" t="s">
        <v>280</v>
      </c>
      <c r="E60" s="7" t="s">
        <v>400</v>
      </c>
      <c r="F60" s="7" t="s">
        <v>61</v>
      </c>
      <c r="G60" s="7" t="s">
        <v>282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 t="s">
        <v>408</v>
      </c>
      <c r="B61" s="7" t="s">
        <v>404</v>
      </c>
      <c r="C61" s="7" t="s">
        <v>396</v>
      </c>
      <c r="D61" s="7" t="s">
        <v>280</v>
      </c>
      <c r="E61" s="7" t="s">
        <v>400</v>
      </c>
      <c r="F61" s="7" t="s">
        <v>61</v>
      </c>
      <c r="G61" s="7" t="s">
        <v>282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 t="s">
        <v>410</v>
      </c>
      <c r="B62" s="7" t="s">
        <v>411</v>
      </c>
      <c r="C62" s="7" t="s">
        <v>151</v>
      </c>
      <c r="D62" s="7" t="s">
        <v>280</v>
      </c>
      <c r="E62" s="7" t="s">
        <v>400</v>
      </c>
      <c r="F62" s="7" t="s">
        <v>61</v>
      </c>
      <c r="G62" s="7" t="s">
        <v>282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 t="s">
        <v>412</v>
      </c>
      <c r="B63" s="7" t="s">
        <v>411</v>
      </c>
      <c r="C63" s="7" t="s">
        <v>151</v>
      </c>
      <c r="D63" s="7" t="s">
        <v>280</v>
      </c>
      <c r="E63" s="7" t="s">
        <v>400</v>
      </c>
      <c r="F63" s="7" t="s">
        <v>61</v>
      </c>
      <c r="G63" s="7" t="s">
        <v>282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 t="s">
        <v>413</v>
      </c>
      <c r="B64" s="7" t="s">
        <v>414</v>
      </c>
      <c r="C64" s="7" t="s">
        <v>151</v>
      </c>
      <c r="D64" s="7" t="s">
        <v>280</v>
      </c>
      <c r="E64" s="7" t="s">
        <v>400</v>
      </c>
      <c r="F64" s="7" t="s">
        <v>61</v>
      </c>
      <c r="G64" s="7" t="s">
        <v>282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 t="s">
        <v>415</v>
      </c>
      <c r="B65" s="7" t="s">
        <v>414</v>
      </c>
      <c r="C65" s="7" t="s">
        <v>151</v>
      </c>
      <c r="D65" s="7" t="s">
        <v>280</v>
      </c>
      <c r="E65" s="7" t="s">
        <v>400</v>
      </c>
      <c r="F65" s="7" t="s">
        <v>61</v>
      </c>
      <c r="G65" s="7" t="s">
        <v>282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 t="s">
        <v>416</v>
      </c>
      <c r="B66" s="7" t="s">
        <v>414</v>
      </c>
      <c r="C66" s="7" t="s">
        <v>336</v>
      </c>
      <c r="D66" s="7" t="s">
        <v>280</v>
      </c>
      <c r="E66" s="7" t="s">
        <v>400</v>
      </c>
      <c r="F66" s="7" t="s">
        <v>61</v>
      </c>
      <c r="G66" s="7" t="s">
        <v>282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 t="s">
        <v>417</v>
      </c>
      <c r="B67" s="7" t="s">
        <v>418</v>
      </c>
      <c r="C67" s="7" t="s">
        <v>151</v>
      </c>
      <c r="D67" s="7" t="s">
        <v>280</v>
      </c>
      <c r="E67" s="7" t="s">
        <v>400</v>
      </c>
      <c r="F67" s="7" t="s">
        <v>61</v>
      </c>
      <c r="G67" s="7" t="s">
        <v>282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 t="s">
        <v>419</v>
      </c>
      <c r="B68" s="7" t="s">
        <v>414</v>
      </c>
      <c r="C68" s="7" t="s">
        <v>351</v>
      </c>
      <c r="D68" s="7" t="s">
        <v>280</v>
      </c>
      <c r="E68" s="7" t="s">
        <v>400</v>
      </c>
      <c r="F68" s="7" t="s">
        <v>61</v>
      </c>
      <c r="G68" s="7" t="s">
        <v>282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 t="s">
        <v>421</v>
      </c>
      <c r="B69" s="7" t="s">
        <v>422</v>
      </c>
      <c r="C69" s="7" t="s">
        <v>336</v>
      </c>
      <c r="D69" s="7" t="s">
        <v>280</v>
      </c>
      <c r="E69" s="7" t="s">
        <v>423</v>
      </c>
      <c r="F69" s="7" t="s">
        <v>61</v>
      </c>
      <c r="G69" s="7" t="s">
        <v>282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 t="s">
        <v>424</v>
      </c>
      <c r="B70" s="7" t="s">
        <v>425</v>
      </c>
      <c r="C70" s="7" t="s">
        <v>328</v>
      </c>
      <c r="D70" s="7" t="s">
        <v>280</v>
      </c>
      <c r="E70" s="7" t="s">
        <v>423</v>
      </c>
      <c r="F70" s="7" t="s">
        <v>61</v>
      </c>
      <c r="G70" s="7" t="s">
        <v>282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 t="s">
        <v>426</v>
      </c>
      <c r="B71" s="7" t="s">
        <v>425</v>
      </c>
      <c r="C71" s="7" t="s">
        <v>151</v>
      </c>
      <c r="D71" s="7" t="s">
        <v>280</v>
      </c>
      <c r="E71" s="7" t="s">
        <v>423</v>
      </c>
      <c r="F71" s="7" t="s">
        <v>61</v>
      </c>
      <c r="G71" s="7" t="s">
        <v>282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 t="s">
        <v>427</v>
      </c>
      <c r="B72" s="7" t="s">
        <v>425</v>
      </c>
      <c r="C72" s="7" t="s">
        <v>328</v>
      </c>
      <c r="D72" s="7" t="s">
        <v>280</v>
      </c>
      <c r="E72" s="7" t="s">
        <v>423</v>
      </c>
      <c r="F72" s="7" t="s">
        <v>61</v>
      </c>
      <c r="G72" s="7" t="s">
        <v>282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 t="s">
        <v>428</v>
      </c>
      <c r="B73" s="7" t="s">
        <v>425</v>
      </c>
      <c r="C73" s="7" t="s">
        <v>328</v>
      </c>
      <c r="D73" s="7" t="s">
        <v>280</v>
      </c>
      <c r="E73" s="7" t="s">
        <v>423</v>
      </c>
      <c r="F73" s="7" t="s">
        <v>61</v>
      </c>
      <c r="G73" s="7" t="s">
        <v>282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 t="s">
        <v>429</v>
      </c>
      <c r="B74" s="7" t="s">
        <v>425</v>
      </c>
      <c r="C74" s="7" t="s">
        <v>328</v>
      </c>
      <c r="D74" s="7" t="s">
        <v>280</v>
      </c>
      <c r="E74" s="7" t="s">
        <v>423</v>
      </c>
      <c r="F74" s="7" t="s">
        <v>61</v>
      </c>
      <c r="G74" s="7" t="s">
        <v>282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 t="s">
        <v>430</v>
      </c>
      <c r="B75" s="7" t="s">
        <v>425</v>
      </c>
      <c r="C75" s="7" t="s">
        <v>301</v>
      </c>
      <c r="D75" s="7" t="s">
        <v>280</v>
      </c>
      <c r="E75" s="7" t="s">
        <v>423</v>
      </c>
      <c r="F75" s="7" t="s">
        <v>61</v>
      </c>
      <c r="G75" s="7" t="s">
        <v>282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 t="s">
        <v>431</v>
      </c>
      <c r="B76" s="7" t="s">
        <v>425</v>
      </c>
      <c r="C76" s="7" t="s">
        <v>432</v>
      </c>
      <c r="D76" s="7" t="s">
        <v>280</v>
      </c>
      <c r="E76" s="7" t="s">
        <v>423</v>
      </c>
      <c r="F76" s="7" t="s">
        <v>61</v>
      </c>
      <c r="G76" s="7" t="s">
        <v>282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 t="s">
        <v>434</v>
      </c>
      <c r="B77" s="7" t="s">
        <v>435</v>
      </c>
      <c r="C77" s="7" t="s">
        <v>151</v>
      </c>
      <c r="D77" s="7" t="s">
        <v>280</v>
      </c>
      <c r="E77" s="7" t="s">
        <v>423</v>
      </c>
      <c r="F77" s="7" t="s">
        <v>61</v>
      </c>
      <c r="G77" s="7" t="s">
        <v>282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 t="s">
        <v>436</v>
      </c>
      <c r="B78" s="7" t="s">
        <v>425</v>
      </c>
      <c r="C78" s="7" t="s">
        <v>437</v>
      </c>
      <c r="D78" s="7" t="s">
        <v>280</v>
      </c>
      <c r="E78" s="7" t="s">
        <v>423</v>
      </c>
      <c r="F78" s="7" t="s">
        <v>61</v>
      </c>
      <c r="G78" s="7" t="s">
        <v>282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 t="s">
        <v>438</v>
      </c>
      <c r="B79" s="7" t="s">
        <v>425</v>
      </c>
      <c r="C79" s="7" t="s">
        <v>437</v>
      </c>
      <c r="D79" s="7" t="s">
        <v>280</v>
      </c>
      <c r="E79" s="7" t="s">
        <v>423</v>
      </c>
      <c r="F79" s="7" t="s">
        <v>61</v>
      </c>
      <c r="G79" s="7" t="s">
        <v>282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 t="s">
        <v>439</v>
      </c>
      <c r="B80" s="7" t="s">
        <v>435</v>
      </c>
      <c r="C80" s="7" t="s">
        <v>440</v>
      </c>
      <c r="D80" s="7" t="s">
        <v>280</v>
      </c>
      <c r="E80" s="7" t="s">
        <v>423</v>
      </c>
      <c r="F80" s="7" t="s">
        <v>61</v>
      </c>
      <c r="G80" s="7" t="s">
        <v>282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 t="s">
        <v>441</v>
      </c>
      <c r="B81" s="7" t="s">
        <v>435</v>
      </c>
      <c r="C81" s="7" t="s">
        <v>351</v>
      </c>
      <c r="D81" s="7" t="s">
        <v>280</v>
      </c>
      <c r="E81" s="7" t="s">
        <v>423</v>
      </c>
      <c r="F81" s="7" t="s">
        <v>61</v>
      </c>
      <c r="G81" s="7" t="s">
        <v>282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 t="s">
        <v>442</v>
      </c>
      <c r="B82" s="7" t="s">
        <v>425</v>
      </c>
      <c r="C82" s="7" t="s">
        <v>443</v>
      </c>
      <c r="D82" s="7" t="s">
        <v>280</v>
      </c>
      <c r="E82" s="7" t="s">
        <v>423</v>
      </c>
      <c r="F82" s="7" t="s">
        <v>61</v>
      </c>
      <c r="G82" s="7" t="s">
        <v>282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 t="s">
        <v>444</v>
      </c>
      <c r="B83" s="7" t="s">
        <v>425</v>
      </c>
      <c r="C83" s="7" t="s">
        <v>151</v>
      </c>
      <c r="D83" s="7" t="s">
        <v>280</v>
      </c>
      <c r="E83" s="7" t="s">
        <v>423</v>
      </c>
      <c r="F83" s="7" t="s">
        <v>61</v>
      </c>
      <c r="G83" s="7" t="s">
        <v>282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 t="s">
        <v>445</v>
      </c>
      <c r="B84" s="7" t="s">
        <v>435</v>
      </c>
      <c r="C84" s="7" t="s">
        <v>440</v>
      </c>
      <c r="D84" s="7" t="s">
        <v>280</v>
      </c>
      <c r="E84" s="7" t="s">
        <v>423</v>
      </c>
      <c r="F84" s="7" t="s">
        <v>61</v>
      </c>
      <c r="G84" s="7" t="s">
        <v>282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 t="s">
        <v>447</v>
      </c>
      <c r="B85" s="7" t="s">
        <v>425</v>
      </c>
      <c r="C85" s="7" t="s">
        <v>448</v>
      </c>
      <c r="D85" s="7" t="s">
        <v>280</v>
      </c>
      <c r="E85" s="7" t="s">
        <v>423</v>
      </c>
      <c r="F85" s="7" t="s">
        <v>61</v>
      </c>
      <c r="G85" s="7" t="s">
        <v>282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 t="s">
        <v>449</v>
      </c>
      <c r="B86" s="7" t="s">
        <v>425</v>
      </c>
      <c r="C86" s="7" t="s">
        <v>151</v>
      </c>
      <c r="D86" s="7" t="s">
        <v>280</v>
      </c>
      <c r="E86" s="7" t="s">
        <v>423</v>
      </c>
      <c r="F86" s="7" t="s">
        <v>61</v>
      </c>
      <c r="G86" s="7" t="s">
        <v>282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 t="s">
        <v>450</v>
      </c>
      <c r="B87" s="7" t="s">
        <v>451</v>
      </c>
      <c r="C87" s="7" t="s">
        <v>135</v>
      </c>
      <c r="D87" s="7" t="s">
        <v>280</v>
      </c>
      <c r="E87" s="7" t="s">
        <v>423</v>
      </c>
      <c r="F87" s="7" t="s">
        <v>61</v>
      </c>
      <c r="G87" s="7" t="s">
        <v>282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 t="s">
        <v>456</v>
      </c>
      <c r="B88" s="7" t="s">
        <v>451</v>
      </c>
      <c r="C88" s="7" t="s">
        <v>135</v>
      </c>
      <c r="D88" s="7" t="s">
        <v>280</v>
      </c>
      <c r="E88" s="7" t="s">
        <v>423</v>
      </c>
      <c r="F88" s="7" t="s">
        <v>61</v>
      </c>
      <c r="G88" s="7" t="s">
        <v>282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 t="s">
        <v>457</v>
      </c>
      <c r="B89" s="7" t="s">
        <v>451</v>
      </c>
      <c r="C89" s="7" t="s">
        <v>135</v>
      </c>
      <c r="D89" s="7" t="s">
        <v>280</v>
      </c>
      <c r="E89" s="7" t="s">
        <v>423</v>
      </c>
      <c r="F89" s="7" t="s">
        <v>61</v>
      </c>
      <c r="G89" s="7" t="s">
        <v>282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 t="s">
        <v>458</v>
      </c>
      <c r="B90" s="7" t="s">
        <v>451</v>
      </c>
      <c r="C90" s="7" t="s">
        <v>135</v>
      </c>
      <c r="D90" s="7" t="s">
        <v>280</v>
      </c>
      <c r="E90" s="7" t="s">
        <v>423</v>
      </c>
      <c r="F90" s="7" t="s">
        <v>61</v>
      </c>
      <c r="G90" s="7" t="s">
        <v>282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 t="s">
        <v>459</v>
      </c>
      <c r="B91" s="7" t="s">
        <v>451</v>
      </c>
      <c r="C91" s="7" t="s">
        <v>135</v>
      </c>
      <c r="D91" s="7" t="s">
        <v>280</v>
      </c>
      <c r="E91" s="7" t="s">
        <v>423</v>
      </c>
      <c r="F91" s="7" t="s">
        <v>61</v>
      </c>
      <c r="G91" s="7" t="s">
        <v>282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 t="s">
        <v>460</v>
      </c>
      <c r="B92" s="7" t="s">
        <v>461</v>
      </c>
      <c r="C92" s="7" t="s">
        <v>135</v>
      </c>
      <c r="D92" s="7" t="s">
        <v>280</v>
      </c>
      <c r="E92" s="7" t="s">
        <v>423</v>
      </c>
      <c r="F92" s="7" t="s">
        <v>61</v>
      </c>
      <c r="G92" s="7" t="s">
        <v>282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 t="s">
        <v>463</v>
      </c>
      <c r="B93" s="7" t="s">
        <v>461</v>
      </c>
      <c r="C93" s="7" t="s">
        <v>135</v>
      </c>
      <c r="D93" s="7" t="s">
        <v>280</v>
      </c>
      <c r="E93" s="7" t="s">
        <v>423</v>
      </c>
      <c r="F93" s="7" t="s">
        <v>61</v>
      </c>
      <c r="G93" s="7" t="s">
        <v>282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 t="s">
        <v>464</v>
      </c>
      <c r="B94" s="7" t="s">
        <v>465</v>
      </c>
      <c r="C94" s="7" t="s">
        <v>135</v>
      </c>
      <c r="D94" s="7" t="s">
        <v>280</v>
      </c>
      <c r="E94" s="7" t="s">
        <v>423</v>
      </c>
      <c r="F94" s="7" t="s">
        <v>61</v>
      </c>
      <c r="G94" s="7" t="s">
        <v>282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 t="s">
        <v>466</v>
      </c>
      <c r="B95" s="7" t="s">
        <v>465</v>
      </c>
      <c r="C95" s="7" t="s">
        <v>135</v>
      </c>
      <c r="D95" s="7" t="s">
        <v>280</v>
      </c>
      <c r="E95" s="7" t="s">
        <v>423</v>
      </c>
      <c r="F95" s="7" t="s">
        <v>61</v>
      </c>
      <c r="G95" s="7" t="s">
        <v>282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 t="s">
        <v>467</v>
      </c>
      <c r="B96" s="7" t="s">
        <v>465</v>
      </c>
      <c r="C96" s="7" t="s">
        <v>135</v>
      </c>
      <c r="D96" s="7" t="s">
        <v>280</v>
      </c>
      <c r="E96" s="7" t="s">
        <v>423</v>
      </c>
      <c r="F96" s="7" t="s">
        <v>61</v>
      </c>
      <c r="G96" s="7" t="s">
        <v>282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 t="s">
        <v>469</v>
      </c>
      <c r="B97" s="7" t="s">
        <v>465</v>
      </c>
      <c r="C97" s="7" t="s">
        <v>40</v>
      </c>
      <c r="D97" s="7" t="s">
        <v>280</v>
      </c>
      <c r="E97" s="7" t="s">
        <v>423</v>
      </c>
      <c r="F97" s="7" t="s">
        <v>61</v>
      </c>
      <c r="G97" s="7" t="s">
        <v>282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 t="s">
        <v>472</v>
      </c>
      <c r="B98" s="7" t="s">
        <v>473</v>
      </c>
      <c r="C98" s="7" t="s">
        <v>474</v>
      </c>
      <c r="D98" s="7" t="s">
        <v>280</v>
      </c>
      <c r="E98" s="7" t="s">
        <v>475</v>
      </c>
      <c r="F98" s="7" t="s">
        <v>61</v>
      </c>
      <c r="G98" s="7" t="s">
        <v>282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 t="s">
        <v>479</v>
      </c>
      <c r="B99" s="7" t="s">
        <v>473</v>
      </c>
      <c r="C99" s="7" t="s">
        <v>480</v>
      </c>
      <c r="D99" s="7" t="s">
        <v>280</v>
      </c>
      <c r="E99" s="7" t="s">
        <v>475</v>
      </c>
      <c r="F99" s="7" t="s">
        <v>61</v>
      </c>
      <c r="G99" s="7" t="s">
        <v>282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 t="s">
        <v>482</v>
      </c>
      <c r="B100" s="7" t="s">
        <v>473</v>
      </c>
      <c r="C100" s="7" t="s">
        <v>62</v>
      </c>
      <c r="D100" s="7" t="s">
        <v>280</v>
      </c>
      <c r="E100" s="7" t="s">
        <v>475</v>
      </c>
      <c r="F100" s="7" t="s">
        <v>61</v>
      </c>
      <c r="G100" s="7" t="s">
        <v>282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 t="s">
        <v>483</v>
      </c>
      <c r="B101" s="7" t="s">
        <v>473</v>
      </c>
      <c r="C101" s="7" t="s">
        <v>62</v>
      </c>
      <c r="D101" s="7" t="s">
        <v>280</v>
      </c>
      <c r="E101" s="7" t="s">
        <v>475</v>
      </c>
      <c r="F101" s="7" t="s">
        <v>61</v>
      </c>
      <c r="G101" s="7" t="s">
        <v>282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 t="s">
        <v>485</v>
      </c>
      <c r="B102" s="7" t="s">
        <v>473</v>
      </c>
      <c r="C102" s="7" t="s">
        <v>40</v>
      </c>
      <c r="D102" s="7" t="s">
        <v>280</v>
      </c>
      <c r="E102" s="7" t="s">
        <v>475</v>
      </c>
      <c r="F102" s="7" t="s">
        <v>61</v>
      </c>
      <c r="G102" s="7" t="s">
        <v>282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 t="s">
        <v>486</v>
      </c>
      <c r="B103" s="7" t="s">
        <v>473</v>
      </c>
      <c r="C103" s="7" t="s">
        <v>62</v>
      </c>
      <c r="D103" s="7" t="s">
        <v>280</v>
      </c>
      <c r="E103" s="7" t="s">
        <v>475</v>
      </c>
      <c r="F103" s="7" t="s">
        <v>61</v>
      </c>
      <c r="G103" s="7" t="s">
        <v>282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 t="s">
        <v>487</v>
      </c>
      <c r="B104" s="7" t="s">
        <v>473</v>
      </c>
      <c r="C104" s="7" t="s">
        <v>40</v>
      </c>
      <c r="D104" s="7" t="s">
        <v>280</v>
      </c>
      <c r="E104" s="7" t="s">
        <v>475</v>
      </c>
      <c r="F104" s="7" t="s">
        <v>61</v>
      </c>
      <c r="G104" s="7" t="s">
        <v>282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 t="s">
        <v>489</v>
      </c>
      <c r="B105" s="7" t="s">
        <v>473</v>
      </c>
      <c r="C105" s="7" t="s">
        <v>40</v>
      </c>
      <c r="D105" s="7" t="s">
        <v>280</v>
      </c>
      <c r="E105" s="7" t="s">
        <v>475</v>
      </c>
      <c r="F105" s="7" t="s">
        <v>61</v>
      </c>
      <c r="G105" s="7" t="s">
        <v>282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 t="s">
        <v>490</v>
      </c>
      <c r="B106" s="7" t="s">
        <v>473</v>
      </c>
      <c r="C106" s="7" t="s">
        <v>40</v>
      </c>
      <c r="D106" s="7" t="s">
        <v>280</v>
      </c>
      <c r="E106" s="7" t="s">
        <v>475</v>
      </c>
      <c r="F106" s="7" t="s">
        <v>61</v>
      </c>
      <c r="G106" s="7" t="s">
        <v>282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 t="s">
        <v>491</v>
      </c>
      <c r="B107" s="7" t="s">
        <v>473</v>
      </c>
      <c r="C107" s="7" t="s">
        <v>40</v>
      </c>
      <c r="D107" s="7" t="s">
        <v>280</v>
      </c>
      <c r="E107" s="7" t="s">
        <v>475</v>
      </c>
      <c r="F107" s="7" t="s">
        <v>61</v>
      </c>
      <c r="G107" s="7" t="s">
        <v>282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 t="s">
        <v>493</v>
      </c>
      <c r="B108" s="7" t="s">
        <v>494</v>
      </c>
      <c r="C108" s="7" t="s">
        <v>40</v>
      </c>
      <c r="D108" s="7" t="s">
        <v>280</v>
      </c>
      <c r="E108" s="7" t="s">
        <v>475</v>
      </c>
      <c r="F108" s="7" t="s">
        <v>61</v>
      </c>
      <c r="G108" s="7" t="s">
        <v>282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 t="s">
        <v>496</v>
      </c>
      <c r="B109" s="7" t="s">
        <v>494</v>
      </c>
      <c r="C109" s="7" t="s">
        <v>40</v>
      </c>
      <c r="D109" s="7" t="s">
        <v>280</v>
      </c>
      <c r="E109" s="7" t="s">
        <v>475</v>
      </c>
      <c r="F109" s="7" t="s">
        <v>61</v>
      </c>
      <c r="G109" s="7" t="s">
        <v>282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 t="s">
        <v>498</v>
      </c>
      <c r="B110" s="7" t="s">
        <v>499</v>
      </c>
      <c r="C110" s="7" t="s">
        <v>40</v>
      </c>
      <c r="D110" s="7" t="s">
        <v>280</v>
      </c>
      <c r="E110" s="7" t="s">
        <v>475</v>
      </c>
      <c r="F110" s="7" t="s">
        <v>61</v>
      </c>
      <c r="G110" s="7" t="s">
        <v>282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 t="s">
        <v>501</v>
      </c>
      <c r="B111" s="7" t="s">
        <v>499</v>
      </c>
      <c r="C111" s="7" t="s">
        <v>40</v>
      </c>
      <c r="D111" s="7" t="s">
        <v>280</v>
      </c>
      <c r="E111" s="7" t="s">
        <v>475</v>
      </c>
      <c r="F111" s="7" t="s">
        <v>61</v>
      </c>
      <c r="G111" s="7" t="s">
        <v>282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 t="s">
        <v>503</v>
      </c>
      <c r="B112" s="7" t="s">
        <v>499</v>
      </c>
      <c r="C112" s="7" t="s">
        <v>40</v>
      </c>
      <c r="D112" s="7" t="s">
        <v>280</v>
      </c>
      <c r="E112" s="7" t="s">
        <v>475</v>
      </c>
      <c r="F112" s="7" t="s">
        <v>61</v>
      </c>
      <c r="G112" s="7" t="s">
        <v>282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 t="s">
        <v>505</v>
      </c>
      <c r="B113" s="7" t="s">
        <v>499</v>
      </c>
      <c r="C113" s="7" t="s">
        <v>40</v>
      </c>
      <c r="D113" s="7" t="s">
        <v>280</v>
      </c>
      <c r="E113" s="7" t="s">
        <v>475</v>
      </c>
      <c r="F113" s="7" t="s">
        <v>61</v>
      </c>
      <c r="G113" s="7" t="s">
        <v>282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 t="s">
        <v>506</v>
      </c>
      <c r="B114" s="7" t="s">
        <v>499</v>
      </c>
      <c r="C114" s="7" t="s">
        <v>62</v>
      </c>
      <c r="D114" s="7" t="s">
        <v>280</v>
      </c>
      <c r="E114" s="7" t="s">
        <v>475</v>
      </c>
      <c r="F114" s="7" t="s">
        <v>61</v>
      </c>
      <c r="G114" s="7" t="s">
        <v>282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 t="s">
        <v>507</v>
      </c>
      <c r="B115" s="7" t="s">
        <v>508</v>
      </c>
      <c r="C115" s="7" t="s">
        <v>62</v>
      </c>
      <c r="D115" s="7" t="s">
        <v>280</v>
      </c>
      <c r="E115" s="7" t="s">
        <v>509</v>
      </c>
      <c r="F115" s="7" t="s">
        <v>61</v>
      </c>
      <c r="G115" s="7" t="s">
        <v>282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 t="s">
        <v>510</v>
      </c>
      <c r="B116" s="7" t="s">
        <v>508</v>
      </c>
      <c r="C116" s="7" t="s">
        <v>406</v>
      </c>
      <c r="D116" s="7" t="s">
        <v>280</v>
      </c>
      <c r="E116" s="7" t="s">
        <v>509</v>
      </c>
      <c r="F116" s="7" t="s">
        <v>61</v>
      </c>
      <c r="G116" s="7" t="s">
        <v>282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 t="s">
        <v>145</v>
      </c>
      <c r="B117" s="7" t="s">
        <v>511</v>
      </c>
      <c r="C117" s="7" t="s">
        <v>40</v>
      </c>
      <c r="D117" s="7" t="s">
        <v>280</v>
      </c>
      <c r="E117" s="7"/>
      <c r="F117" s="7" t="s">
        <v>61</v>
      </c>
      <c r="G117" s="7" t="s">
        <v>282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 t="s">
        <v>512</v>
      </c>
      <c r="B118" s="7" t="s">
        <v>513</v>
      </c>
      <c r="C118" s="7" t="s">
        <v>135</v>
      </c>
      <c r="D118" s="7" t="s">
        <v>280</v>
      </c>
      <c r="E118" s="7" t="s">
        <v>514</v>
      </c>
      <c r="F118" s="7" t="s">
        <v>61</v>
      </c>
      <c r="G118" s="7" t="s">
        <v>282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 t="s">
        <v>516</v>
      </c>
      <c r="B119" s="7" t="s">
        <v>517</v>
      </c>
      <c r="C119" s="7" t="s">
        <v>151</v>
      </c>
      <c r="D119" s="7" t="s">
        <v>280</v>
      </c>
      <c r="E119" s="7" t="s">
        <v>518</v>
      </c>
      <c r="F119" s="7" t="s">
        <v>61</v>
      </c>
      <c r="G119" s="7" t="s">
        <v>282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 t="s">
        <v>519</v>
      </c>
      <c r="B120" s="7" t="s">
        <v>370</v>
      </c>
      <c r="C120" s="7" t="s">
        <v>40</v>
      </c>
      <c r="D120" s="7" t="s">
        <v>280</v>
      </c>
      <c r="E120" s="7" t="s">
        <v>518</v>
      </c>
      <c r="F120" s="7" t="s">
        <v>61</v>
      </c>
      <c r="G120" s="7" t="s">
        <v>282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6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90.0"/>
    <col customWidth="1" min="3" max="26" width="8.63"/>
  </cols>
  <sheetData>
    <row r="1">
      <c r="A1" s="10" t="s">
        <v>369</v>
      </c>
    </row>
    <row r="2">
      <c r="A2" s="7" t="s">
        <v>371</v>
      </c>
      <c r="B2" s="7" t="s">
        <v>373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380</v>
      </c>
      <c r="B3" s="7">
        <v>75.0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382</v>
      </c>
      <c r="B4" s="7">
        <v>118.0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384</v>
      </c>
      <c r="B5" s="7">
        <v>193.0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388</v>
      </c>
      <c r="B6" s="7" t="s">
        <v>389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32.0"/>
    <col customWidth="1" min="3" max="3" width="30.0"/>
    <col customWidth="1" min="4" max="4" width="24.0"/>
    <col customWidth="1" min="5" max="26" width="8.63"/>
  </cols>
  <sheetData>
    <row r="1">
      <c r="A1" s="6" t="s">
        <v>452</v>
      </c>
      <c r="B1" s="6" t="s">
        <v>453</v>
      </c>
      <c r="C1" s="6" t="s">
        <v>454</v>
      </c>
      <c r="D1" s="6" t="s">
        <v>455</v>
      </c>
    </row>
    <row r="2">
      <c r="A2" s="11" t="s">
        <v>94</v>
      </c>
      <c r="B2" s="7" t="s">
        <v>95</v>
      </c>
      <c r="C2" s="7" t="s">
        <v>74</v>
      </c>
      <c r="D2" s="7" t="s">
        <v>39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 t="s">
        <v>116</v>
      </c>
      <c r="B3" s="7" t="s">
        <v>118</v>
      </c>
      <c r="C3" s="7" t="s">
        <v>85</v>
      </c>
      <c r="D3" s="7" t="s">
        <v>110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1" t="s">
        <v>67</v>
      </c>
      <c r="B4" s="7" t="s">
        <v>69</v>
      </c>
      <c r="C4" s="7" t="s">
        <v>101</v>
      </c>
      <c r="D4" s="7" t="s">
        <v>425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 t="s">
        <v>154</v>
      </c>
      <c r="B5" s="7" t="s">
        <v>156</v>
      </c>
      <c r="C5" s="7" t="s">
        <v>132</v>
      </c>
      <c r="D5" s="7" t="s">
        <v>324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" t="s">
        <v>125</v>
      </c>
      <c r="B6" s="7" t="s">
        <v>126</v>
      </c>
      <c r="C6" s="7" t="s">
        <v>139</v>
      </c>
      <c r="D6" s="7" t="s">
        <v>435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" t="s">
        <v>31</v>
      </c>
      <c r="B7" s="7" t="s">
        <v>36</v>
      </c>
      <c r="C7" s="7" t="s">
        <v>144</v>
      </c>
      <c r="D7" s="7" t="s">
        <v>422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 t="s">
        <v>107</v>
      </c>
      <c r="B8" s="7" t="s">
        <v>109</v>
      </c>
      <c r="C8" s="7" t="s">
        <v>160</v>
      </c>
      <c r="D8" s="7" t="s">
        <v>255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468</v>
      </c>
      <c r="B9" s="7"/>
      <c r="C9" s="7" t="s">
        <v>169</v>
      </c>
      <c r="D9" s="7" t="s">
        <v>37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470</v>
      </c>
      <c r="B10" s="7"/>
      <c r="C10" s="7"/>
      <c r="D10" s="7" t="s">
        <v>55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177</v>
      </c>
      <c r="B11" s="7"/>
      <c r="C11" s="7"/>
      <c r="D11" s="7" t="s">
        <v>471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477</v>
      </c>
      <c r="B12" s="7"/>
      <c r="C12" s="7"/>
      <c r="D12" s="7" t="s">
        <v>478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481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333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484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 t="s">
        <v>447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 t="s">
        <v>439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 t="s">
        <v>430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 t="s">
        <v>413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 t="s">
        <v>492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 t="s">
        <v>495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 t="s">
        <v>497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 t="s">
        <v>500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 t="s">
        <v>502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62.0"/>
    <col customWidth="1" min="3" max="3" width="66.0"/>
    <col customWidth="1" min="4" max="26" width="8.63"/>
  </cols>
  <sheetData>
    <row r="1">
      <c r="A1" s="6" t="s">
        <v>524</v>
      </c>
      <c r="B1" s="6" t="s">
        <v>526</v>
      </c>
      <c r="C1" s="6" t="s">
        <v>527</v>
      </c>
    </row>
    <row r="2">
      <c r="A2" s="7" t="s">
        <v>528</v>
      </c>
      <c r="B2" s="7" t="s">
        <v>529</v>
      </c>
      <c r="C2" s="7" t="s">
        <v>530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533</v>
      </c>
      <c r="B3" s="7" t="s">
        <v>534</v>
      </c>
      <c r="C3" s="7" t="s">
        <v>535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536</v>
      </c>
      <c r="B4" s="7" t="s">
        <v>537</v>
      </c>
      <c r="C4" s="7" t="s">
        <v>538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539</v>
      </c>
      <c r="B5" s="7" t="s">
        <v>540</v>
      </c>
      <c r="C5" s="7" t="s">
        <v>541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B6" s="14"/>
      <c r="C6" s="14"/>
    </row>
    <row r="7">
      <c r="B7" s="14"/>
      <c r="C7" s="14"/>
    </row>
    <row r="8">
      <c r="B8" s="14"/>
      <c r="C8" s="14"/>
    </row>
    <row r="9">
      <c r="B9" s="14"/>
      <c r="C9" s="14"/>
    </row>
    <row r="10">
      <c r="B10" s="14"/>
      <c r="C10" s="14"/>
    </row>
    <row r="11">
      <c r="B11" s="14"/>
      <c r="C11" s="14"/>
    </row>
    <row r="12">
      <c r="B12" s="14"/>
      <c r="C12" s="14"/>
    </row>
    <row r="13">
      <c r="B13" s="14"/>
      <c r="C13" s="14"/>
    </row>
    <row r="14">
      <c r="B14" s="14"/>
      <c r="C14" s="14"/>
    </row>
    <row r="15">
      <c r="B15" s="14"/>
      <c r="C15" s="14"/>
    </row>
    <row r="16">
      <c r="B16" s="14"/>
      <c r="C16" s="14"/>
    </row>
    <row r="17">
      <c r="B17" s="14"/>
      <c r="C17" s="14"/>
    </row>
    <row r="18">
      <c r="B18" s="14"/>
      <c r="C18" s="14"/>
    </row>
    <row r="19">
      <c r="B19" s="14"/>
      <c r="C19" s="14"/>
    </row>
    <row r="20">
      <c r="B20" s="14"/>
      <c r="C20" s="14"/>
    </row>
    <row r="21" ht="15.75" customHeight="1">
      <c r="B21" s="14"/>
      <c r="C21" s="14"/>
    </row>
    <row r="22" ht="15.75" customHeight="1">
      <c r="B22" s="14"/>
      <c r="C22" s="14"/>
    </row>
    <row r="23" ht="15.75" customHeight="1">
      <c r="B23" s="14"/>
      <c r="C23" s="14"/>
    </row>
    <row r="24" ht="15.75" customHeight="1">
      <c r="B24" s="14"/>
      <c r="C24" s="14"/>
    </row>
    <row r="25" ht="15.75" customHeight="1">
      <c r="B25" s="14"/>
      <c r="C25" s="14"/>
    </row>
    <row r="26" ht="15.75" customHeight="1">
      <c r="B26" s="14"/>
      <c r="C26" s="14"/>
    </row>
    <row r="27" ht="15.75" customHeight="1">
      <c r="B27" s="14"/>
      <c r="C27" s="14"/>
    </row>
    <row r="28" ht="15.75" customHeight="1">
      <c r="B28" s="14"/>
      <c r="C28" s="14"/>
    </row>
    <row r="29" ht="15.75" customHeight="1">
      <c r="B29" s="14"/>
      <c r="C29" s="14"/>
    </row>
    <row r="30" ht="15.75" customHeight="1">
      <c r="B30" s="14"/>
      <c r="C30" s="14"/>
    </row>
    <row r="31" ht="15.75" customHeight="1">
      <c r="B31" s="14"/>
      <c r="C31" s="14"/>
    </row>
    <row r="32" ht="15.75" customHeight="1">
      <c r="B32" s="14"/>
      <c r="C32" s="14"/>
    </row>
    <row r="33" ht="15.75" customHeight="1">
      <c r="B33" s="14"/>
      <c r="C33" s="14"/>
    </row>
    <row r="34" ht="15.75" customHeight="1">
      <c r="B34" s="14"/>
      <c r="C34" s="14"/>
    </row>
    <row r="35" ht="15.75" customHeight="1">
      <c r="B35" s="14"/>
      <c r="C35" s="14"/>
    </row>
    <row r="36" ht="15.75" customHeight="1">
      <c r="B36" s="14"/>
      <c r="C36" s="14"/>
    </row>
    <row r="37" ht="15.75" customHeight="1">
      <c r="B37" s="14"/>
      <c r="C37" s="14"/>
    </row>
    <row r="38" ht="15.75" customHeight="1">
      <c r="B38" s="14"/>
      <c r="C38" s="14"/>
    </row>
    <row r="39" ht="15.75" customHeight="1">
      <c r="B39" s="14"/>
      <c r="C39" s="14"/>
    </row>
    <row r="40" ht="15.75" customHeight="1">
      <c r="B40" s="14"/>
      <c r="C40" s="14"/>
    </row>
    <row r="41" ht="15.75" customHeight="1">
      <c r="B41" s="14"/>
      <c r="C41" s="14"/>
    </row>
    <row r="42" ht="15.75" customHeight="1">
      <c r="B42" s="14"/>
      <c r="C42" s="14"/>
    </row>
    <row r="43" ht="15.75" customHeight="1">
      <c r="B43" s="14"/>
      <c r="C43" s="14"/>
    </row>
    <row r="44" ht="15.75" customHeight="1">
      <c r="B44" s="14"/>
      <c r="C44" s="14"/>
    </row>
    <row r="45" ht="15.75" customHeight="1">
      <c r="B45" s="14"/>
      <c r="C45" s="14"/>
    </row>
    <row r="46" ht="15.75" customHeight="1">
      <c r="B46" s="14"/>
      <c r="C46" s="14"/>
    </row>
    <row r="47" ht="15.75" customHeight="1">
      <c r="B47" s="14"/>
      <c r="C47" s="14"/>
    </row>
    <row r="48" ht="15.75" customHeight="1">
      <c r="B48" s="14"/>
      <c r="C48" s="14"/>
    </row>
    <row r="49" ht="15.75" customHeight="1">
      <c r="B49" s="14"/>
      <c r="C49" s="14"/>
    </row>
    <row r="50" ht="15.75" customHeight="1">
      <c r="B50" s="14"/>
      <c r="C50" s="14"/>
    </row>
    <row r="51" ht="15.75" customHeight="1">
      <c r="B51" s="14"/>
      <c r="C51" s="14"/>
    </row>
    <row r="52" ht="15.75" customHeight="1">
      <c r="B52" s="14"/>
      <c r="C52" s="14"/>
    </row>
    <row r="53" ht="15.75" customHeight="1">
      <c r="B53" s="14"/>
      <c r="C53" s="14"/>
    </row>
    <row r="54" ht="15.75" customHeight="1">
      <c r="B54" s="14"/>
      <c r="C54" s="14"/>
    </row>
    <row r="55" ht="15.75" customHeight="1">
      <c r="B55" s="14"/>
      <c r="C55" s="14"/>
    </row>
    <row r="56" ht="15.75" customHeight="1">
      <c r="B56" s="14"/>
      <c r="C56" s="14"/>
    </row>
    <row r="57" ht="15.75" customHeight="1">
      <c r="B57" s="14"/>
      <c r="C57" s="14"/>
    </row>
    <row r="58" ht="15.75" customHeight="1">
      <c r="B58" s="14"/>
      <c r="C58" s="14"/>
    </row>
    <row r="59" ht="15.75" customHeight="1">
      <c r="B59" s="14"/>
      <c r="C59" s="14"/>
    </row>
    <row r="60" ht="15.75" customHeight="1">
      <c r="B60" s="14"/>
      <c r="C60" s="14"/>
    </row>
    <row r="61" ht="15.75" customHeight="1">
      <c r="B61" s="14"/>
      <c r="C61" s="14"/>
    </row>
    <row r="62" ht="15.75" customHeight="1">
      <c r="B62" s="14"/>
      <c r="C62" s="14"/>
    </row>
    <row r="63" ht="15.75" customHeight="1">
      <c r="B63" s="14"/>
      <c r="C63" s="14"/>
    </row>
    <row r="64" ht="15.75" customHeight="1">
      <c r="B64" s="14"/>
      <c r="C64" s="14"/>
    </row>
    <row r="65" ht="15.75" customHeight="1">
      <c r="B65" s="14"/>
      <c r="C65" s="14"/>
    </row>
    <row r="66" ht="15.75" customHeight="1">
      <c r="B66" s="14"/>
      <c r="C66" s="14"/>
    </row>
    <row r="67" ht="15.75" customHeight="1">
      <c r="B67" s="14"/>
      <c r="C67" s="14"/>
    </row>
    <row r="68" ht="15.75" customHeight="1">
      <c r="B68" s="14"/>
      <c r="C68" s="14"/>
    </row>
    <row r="69" ht="15.75" customHeight="1">
      <c r="B69" s="14"/>
      <c r="C69" s="14"/>
    </row>
    <row r="70" ht="15.75" customHeight="1">
      <c r="B70" s="14"/>
      <c r="C70" s="14"/>
    </row>
    <row r="71" ht="15.75" customHeight="1">
      <c r="B71" s="14"/>
      <c r="C71" s="14"/>
    </row>
    <row r="72" ht="15.75" customHeight="1">
      <c r="B72" s="14"/>
      <c r="C72" s="14"/>
    </row>
    <row r="73" ht="15.75" customHeight="1">
      <c r="B73" s="14"/>
      <c r="C73" s="14"/>
    </row>
    <row r="74" ht="15.75" customHeight="1">
      <c r="B74" s="14"/>
      <c r="C74" s="14"/>
    </row>
    <row r="75" ht="15.75" customHeight="1">
      <c r="B75" s="14"/>
      <c r="C75" s="14"/>
    </row>
    <row r="76" ht="15.75" customHeight="1">
      <c r="B76" s="14"/>
      <c r="C76" s="14"/>
    </row>
    <row r="77" ht="15.75" customHeight="1">
      <c r="B77" s="14"/>
      <c r="C77" s="14"/>
    </row>
    <row r="78" ht="15.75" customHeight="1">
      <c r="B78" s="14"/>
      <c r="C78" s="14"/>
    </row>
    <row r="79" ht="15.75" customHeight="1">
      <c r="B79" s="14"/>
      <c r="C79" s="14"/>
    </row>
    <row r="80" ht="15.75" customHeight="1">
      <c r="B80" s="14"/>
      <c r="C80" s="14"/>
    </row>
    <row r="81" ht="15.75" customHeight="1">
      <c r="B81" s="14"/>
      <c r="C81" s="14"/>
    </row>
    <row r="82" ht="15.75" customHeight="1">
      <c r="B82" s="14"/>
      <c r="C82" s="14"/>
    </row>
    <row r="83" ht="15.75" customHeight="1">
      <c r="B83" s="14"/>
      <c r="C83" s="14"/>
    </row>
    <row r="84" ht="15.75" customHeight="1">
      <c r="B84" s="14"/>
      <c r="C84" s="14"/>
    </row>
    <row r="85" ht="15.75" customHeight="1">
      <c r="B85" s="14"/>
      <c r="C85" s="14"/>
    </row>
    <row r="86" ht="15.75" customHeight="1">
      <c r="B86" s="14"/>
      <c r="C86" s="14"/>
    </row>
    <row r="87" ht="15.75" customHeight="1">
      <c r="B87" s="14"/>
      <c r="C87" s="14"/>
    </row>
    <row r="88" ht="15.75" customHeight="1">
      <c r="B88" s="14"/>
      <c r="C88" s="14"/>
    </row>
    <row r="89" ht="15.75" customHeight="1">
      <c r="B89" s="14"/>
      <c r="C89" s="14"/>
    </row>
    <row r="90" ht="15.75" customHeight="1">
      <c r="B90" s="14"/>
      <c r="C90" s="14"/>
    </row>
    <row r="91" ht="15.75" customHeight="1">
      <c r="B91" s="14"/>
      <c r="C91" s="14"/>
    </row>
    <row r="92" ht="15.75" customHeight="1">
      <c r="B92" s="14"/>
      <c r="C92" s="14"/>
    </row>
    <row r="93" ht="15.75" customHeight="1">
      <c r="B93" s="14"/>
      <c r="C93" s="14"/>
    </row>
    <row r="94" ht="15.75" customHeight="1">
      <c r="B94" s="14"/>
      <c r="C94" s="14"/>
    </row>
    <row r="95" ht="15.75" customHeight="1">
      <c r="B95" s="14"/>
      <c r="C95" s="14"/>
    </row>
    <row r="96" ht="15.75" customHeight="1">
      <c r="B96" s="14"/>
      <c r="C96" s="14"/>
    </row>
    <row r="97" ht="15.75" customHeight="1">
      <c r="B97" s="14"/>
      <c r="C97" s="14"/>
    </row>
    <row r="98" ht="15.75" customHeight="1">
      <c r="B98" s="14"/>
      <c r="C98" s="14"/>
    </row>
    <row r="99" ht="15.75" customHeight="1">
      <c r="B99" s="14"/>
      <c r="C99" s="14"/>
    </row>
    <row r="100" ht="15.75" customHeight="1">
      <c r="B100" s="14"/>
      <c r="C100" s="14"/>
    </row>
    <row r="101" ht="15.75" customHeight="1">
      <c r="B101" s="14"/>
      <c r="C101" s="14"/>
    </row>
    <row r="102" ht="15.75" customHeight="1">
      <c r="B102" s="14"/>
      <c r="C102" s="14"/>
    </row>
    <row r="103" ht="15.75" customHeight="1">
      <c r="B103" s="14"/>
      <c r="C103" s="14"/>
    </row>
    <row r="104" ht="15.75" customHeight="1">
      <c r="B104" s="14"/>
      <c r="C104" s="14"/>
    </row>
    <row r="105" ht="15.75" customHeight="1">
      <c r="B105" s="14"/>
      <c r="C105" s="14"/>
    </row>
    <row r="106" ht="15.75" customHeight="1">
      <c r="B106" s="14"/>
      <c r="C106" s="14"/>
    </row>
    <row r="107" ht="15.75" customHeight="1">
      <c r="B107" s="14"/>
      <c r="C107" s="14"/>
    </row>
    <row r="108" ht="15.75" customHeight="1">
      <c r="B108" s="14"/>
      <c r="C108" s="14"/>
    </row>
    <row r="109" ht="15.75" customHeight="1">
      <c r="B109" s="14"/>
      <c r="C109" s="14"/>
    </row>
    <row r="110" ht="15.75" customHeight="1">
      <c r="B110" s="14"/>
      <c r="C110" s="14"/>
    </row>
    <row r="111" ht="15.75" customHeight="1">
      <c r="B111" s="14"/>
      <c r="C111" s="14"/>
    </row>
    <row r="112" ht="15.75" customHeight="1">
      <c r="B112" s="14"/>
      <c r="C112" s="14"/>
    </row>
    <row r="113" ht="15.75" customHeight="1">
      <c r="B113" s="14"/>
      <c r="C113" s="14"/>
    </row>
    <row r="114" ht="15.75" customHeight="1">
      <c r="B114" s="14"/>
      <c r="C114" s="14"/>
    </row>
    <row r="115" ht="15.75" customHeight="1">
      <c r="B115" s="14"/>
      <c r="C115" s="14"/>
    </row>
    <row r="116" ht="15.75" customHeight="1">
      <c r="B116" s="14"/>
      <c r="C116" s="14"/>
    </row>
    <row r="117" ht="15.75" customHeight="1">
      <c r="B117" s="14"/>
      <c r="C117" s="14"/>
    </row>
    <row r="118" ht="15.75" customHeight="1">
      <c r="B118" s="14"/>
      <c r="C118" s="14"/>
    </row>
    <row r="119" ht="15.75" customHeight="1">
      <c r="B119" s="14"/>
      <c r="C119" s="14"/>
    </row>
    <row r="120" ht="15.75" customHeight="1">
      <c r="B120" s="14"/>
      <c r="C120" s="14"/>
    </row>
    <row r="121" ht="15.75" customHeight="1">
      <c r="B121" s="14"/>
      <c r="C121" s="14"/>
    </row>
    <row r="122" ht="15.75" customHeight="1">
      <c r="B122" s="14"/>
      <c r="C122" s="14"/>
    </row>
    <row r="123" ht="15.75" customHeight="1">
      <c r="B123" s="14"/>
      <c r="C123" s="14"/>
    </row>
    <row r="124" ht="15.75" customHeight="1">
      <c r="B124" s="14"/>
      <c r="C124" s="14"/>
    </row>
    <row r="125" ht="15.75" customHeight="1">
      <c r="B125" s="14"/>
      <c r="C125" s="14"/>
    </row>
    <row r="126" ht="15.75" customHeight="1">
      <c r="B126" s="14"/>
      <c r="C126" s="14"/>
    </row>
    <row r="127" ht="15.75" customHeight="1">
      <c r="B127" s="14"/>
      <c r="C127" s="14"/>
    </row>
    <row r="128" ht="15.75" customHeight="1">
      <c r="B128" s="14"/>
      <c r="C128" s="14"/>
    </row>
    <row r="129" ht="15.75" customHeight="1">
      <c r="B129" s="14"/>
      <c r="C129" s="14"/>
    </row>
    <row r="130" ht="15.75" customHeight="1">
      <c r="B130" s="14"/>
      <c r="C130" s="14"/>
    </row>
    <row r="131" ht="15.75" customHeight="1">
      <c r="B131" s="14"/>
      <c r="C131" s="14"/>
    </row>
    <row r="132" ht="15.75" customHeight="1">
      <c r="B132" s="14"/>
      <c r="C132" s="14"/>
    </row>
    <row r="133" ht="15.75" customHeight="1">
      <c r="B133" s="14"/>
      <c r="C133" s="14"/>
    </row>
    <row r="134" ht="15.75" customHeight="1">
      <c r="B134" s="14"/>
      <c r="C134" s="14"/>
    </row>
    <row r="135" ht="15.75" customHeight="1">
      <c r="B135" s="14"/>
      <c r="C135" s="14"/>
    </row>
    <row r="136" ht="15.75" customHeight="1">
      <c r="B136" s="14"/>
      <c r="C136" s="14"/>
    </row>
    <row r="137" ht="15.75" customHeight="1">
      <c r="B137" s="14"/>
      <c r="C137" s="14"/>
    </row>
    <row r="138" ht="15.75" customHeight="1">
      <c r="B138" s="14"/>
      <c r="C138" s="14"/>
    </row>
    <row r="139" ht="15.75" customHeight="1">
      <c r="B139" s="14"/>
      <c r="C139" s="14"/>
    </row>
    <row r="140" ht="15.75" customHeight="1">
      <c r="B140" s="14"/>
      <c r="C140" s="14"/>
    </row>
    <row r="141" ht="15.75" customHeight="1">
      <c r="B141" s="14"/>
      <c r="C141" s="14"/>
    </row>
    <row r="142" ht="15.75" customHeight="1">
      <c r="B142" s="14"/>
      <c r="C142" s="14"/>
    </row>
    <row r="143" ht="15.75" customHeight="1">
      <c r="B143" s="14"/>
      <c r="C143" s="14"/>
    </row>
    <row r="144" ht="15.75" customHeight="1">
      <c r="B144" s="14"/>
      <c r="C144" s="14"/>
    </row>
    <row r="145" ht="15.75" customHeight="1">
      <c r="B145" s="14"/>
      <c r="C145" s="14"/>
    </row>
    <row r="146" ht="15.75" customHeight="1">
      <c r="B146" s="14"/>
      <c r="C146" s="14"/>
    </row>
    <row r="147" ht="15.75" customHeight="1">
      <c r="B147" s="14"/>
      <c r="C147" s="14"/>
    </row>
    <row r="148" ht="15.75" customHeight="1">
      <c r="B148" s="14"/>
      <c r="C148" s="14"/>
    </row>
    <row r="149" ht="15.75" customHeight="1">
      <c r="B149" s="14"/>
      <c r="C149" s="14"/>
    </row>
    <row r="150" ht="15.75" customHeight="1">
      <c r="B150" s="14"/>
      <c r="C150" s="14"/>
    </row>
    <row r="151" ht="15.75" customHeight="1">
      <c r="B151" s="14"/>
      <c r="C151" s="14"/>
    </row>
    <row r="152" ht="15.75" customHeight="1">
      <c r="B152" s="14"/>
      <c r="C152" s="14"/>
    </row>
    <row r="153" ht="15.75" customHeight="1">
      <c r="B153" s="14"/>
      <c r="C153" s="14"/>
    </row>
    <row r="154" ht="15.75" customHeight="1">
      <c r="B154" s="14"/>
      <c r="C154" s="14"/>
    </row>
    <row r="155" ht="15.75" customHeight="1">
      <c r="B155" s="14"/>
      <c r="C155" s="14"/>
    </row>
    <row r="156" ht="15.75" customHeight="1">
      <c r="B156" s="14"/>
      <c r="C156" s="14"/>
    </row>
    <row r="157" ht="15.75" customHeight="1">
      <c r="B157" s="14"/>
      <c r="C157" s="14"/>
    </row>
    <row r="158" ht="15.75" customHeight="1">
      <c r="B158" s="14"/>
      <c r="C158" s="14"/>
    </row>
    <row r="159" ht="15.75" customHeight="1">
      <c r="B159" s="14"/>
      <c r="C159" s="14"/>
    </row>
    <row r="160" ht="15.75" customHeight="1">
      <c r="B160" s="14"/>
      <c r="C160" s="14"/>
    </row>
    <row r="161" ht="15.75" customHeight="1">
      <c r="B161" s="14"/>
      <c r="C161" s="14"/>
    </row>
    <row r="162" ht="15.75" customHeight="1">
      <c r="B162" s="14"/>
      <c r="C162" s="14"/>
    </row>
    <row r="163" ht="15.75" customHeight="1">
      <c r="B163" s="14"/>
      <c r="C163" s="14"/>
    </row>
    <row r="164" ht="15.75" customHeight="1">
      <c r="B164" s="14"/>
      <c r="C164" s="14"/>
    </row>
    <row r="165" ht="15.75" customHeight="1">
      <c r="B165" s="14"/>
      <c r="C165" s="14"/>
    </row>
    <row r="166" ht="15.75" customHeight="1">
      <c r="B166" s="14"/>
      <c r="C166" s="14"/>
    </row>
    <row r="167" ht="15.75" customHeight="1">
      <c r="B167" s="14"/>
      <c r="C167" s="14"/>
    </row>
    <row r="168" ht="15.75" customHeight="1">
      <c r="B168" s="14"/>
      <c r="C168" s="14"/>
    </row>
    <row r="169" ht="15.75" customHeight="1">
      <c r="B169" s="14"/>
      <c r="C169" s="14"/>
    </row>
    <row r="170" ht="15.75" customHeight="1">
      <c r="B170" s="14"/>
      <c r="C170" s="14"/>
    </row>
    <row r="171" ht="15.75" customHeight="1">
      <c r="B171" s="14"/>
      <c r="C171" s="14"/>
    </row>
    <row r="172" ht="15.75" customHeight="1">
      <c r="B172" s="14"/>
      <c r="C172" s="14"/>
    </row>
    <row r="173" ht="15.75" customHeight="1">
      <c r="B173" s="14"/>
      <c r="C173" s="14"/>
    </row>
    <row r="174" ht="15.75" customHeight="1">
      <c r="B174" s="14"/>
      <c r="C174" s="14"/>
    </row>
    <row r="175" ht="15.75" customHeight="1">
      <c r="B175" s="14"/>
      <c r="C175" s="14"/>
    </row>
    <row r="176" ht="15.75" customHeight="1">
      <c r="B176" s="14"/>
      <c r="C176" s="14"/>
    </row>
    <row r="177" ht="15.75" customHeight="1">
      <c r="B177" s="14"/>
      <c r="C177" s="14"/>
    </row>
    <row r="178" ht="15.75" customHeight="1">
      <c r="B178" s="14"/>
      <c r="C178" s="14"/>
    </row>
    <row r="179" ht="15.75" customHeight="1">
      <c r="B179" s="14"/>
      <c r="C179" s="14"/>
    </row>
    <row r="180" ht="15.75" customHeight="1">
      <c r="B180" s="14"/>
      <c r="C180" s="14"/>
    </row>
    <row r="181" ht="15.75" customHeight="1">
      <c r="B181" s="14"/>
      <c r="C181" s="14"/>
    </row>
    <row r="182" ht="15.75" customHeight="1">
      <c r="B182" s="14"/>
      <c r="C182" s="14"/>
    </row>
    <row r="183" ht="15.75" customHeight="1">
      <c r="B183" s="14"/>
      <c r="C183" s="14"/>
    </row>
    <row r="184" ht="15.75" customHeight="1">
      <c r="B184" s="14"/>
      <c r="C184" s="14"/>
    </row>
    <row r="185" ht="15.75" customHeight="1">
      <c r="B185" s="14"/>
      <c r="C185" s="14"/>
    </row>
    <row r="186" ht="15.75" customHeight="1">
      <c r="B186" s="14"/>
      <c r="C186" s="14"/>
    </row>
    <row r="187" ht="15.75" customHeight="1">
      <c r="B187" s="14"/>
      <c r="C187" s="14"/>
    </row>
    <row r="188" ht="15.75" customHeight="1">
      <c r="B188" s="14"/>
      <c r="C188" s="14"/>
    </row>
    <row r="189" ht="15.75" customHeight="1">
      <c r="B189" s="14"/>
      <c r="C189" s="14"/>
    </row>
    <row r="190" ht="15.75" customHeight="1">
      <c r="B190" s="14"/>
      <c r="C190" s="14"/>
    </row>
    <row r="191" ht="15.75" customHeight="1">
      <c r="B191" s="14"/>
      <c r="C191" s="14"/>
    </row>
    <row r="192" ht="15.75" customHeight="1">
      <c r="B192" s="14"/>
      <c r="C192" s="14"/>
    </row>
    <row r="193" ht="15.75" customHeight="1">
      <c r="B193" s="14"/>
      <c r="C193" s="14"/>
    </row>
    <row r="194" ht="15.75" customHeight="1">
      <c r="B194" s="14"/>
      <c r="C194" s="14"/>
    </row>
    <row r="195" ht="15.75" customHeight="1">
      <c r="B195" s="14"/>
      <c r="C195" s="14"/>
    </row>
    <row r="196" ht="15.75" customHeight="1">
      <c r="B196" s="14"/>
      <c r="C196" s="14"/>
    </row>
    <row r="197" ht="15.75" customHeight="1">
      <c r="B197" s="14"/>
      <c r="C197" s="14"/>
    </row>
    <row r="198" ht="15.75" customHeight="1">
      <c r="B198" s="14"/>
      <c r="C198" s="14"/>
    </row>
    <row r="199" ht="15.75" customHeight="1">
      <c r="B199" s="14"/>
      <c r="C199" s="14"/>
    </row>
    <row r="200" ht="15.75" customHeight="1">
      <c r="B200" s="14"/>
      <c r="C200" s="14"/>
    </row>
    <row r="201" ht="15.75" customHeight="1">
      <c r="B201" s="14"/>
      <c r="C201" s="14"/>
    </row>
    <row r="202" ht="15.75" customHeight="1">
      <c r="B202" s="14"/>
      <c r="C202" s="14"/>
    </row>
    <row r="203" ht="15.75" customHeight="1">
      <c r="B203" s="14"/>
      <c r="C203" s="14"/>
    </row>
    <row r="204" ht="15.75" customHeight="1">
      <c r="B204" s="14"/>
      <c r="C204" s="14"/>
    </row>
    <row r="205" ht="15.75" customHeight="1">
      <c r="B205" s="14"/>
      <c r="C205" s="14"/>
    </row>
    <row r="206" ht="15.75" customHeight="1">
      <c r="B206" s="14"/>
      <c r="C206" s="14"/>
    </row>
    <row r="207" ht="15.75" customHeight="1">
      <c r="B207" s="14"/>
      <c r="C207" s="14"/>
    </row>
    <row r="208" ht="15.75" customHeight="1">
      <c r="B208" s="14"/>
      <c r="C208" s="14"/>
    </row>
    <row r="209" ht="15.75" customHeight="1">
      <c r="B209" s="14"/>
      <c r="C209" s="14"/>
    </row>
    <row r="210" ht="15.75" customHeight="1">
      <c r="B210" s="14"/>
      <c r="C210" s="14"/>
    </row>
    <row r="211" ht="15.75" customHeight="1">
      <c r="B211" s="14"/>
      <c r="C211" s="14"/>
    </row>
    <row r="212" ht="15.75" customHeight="1">
      <c r="B212" s="14"/>
      <c r="C212" s="14"/>
    </row>
    <row r="213" ht="15.75" customHeight="1">
      <c r="B213" s="14"/>
      <c r="C213" s="14"/>
    </row>
    <row r="214" ht="15.75" customHeight="1">
      <c r="B214" s="14"/>
      <c r="C214" s="14"/>
    </row>
    <row r="215" ht="15.75" customHeight="1">
      <c r="B215" s="14"/>
      <c r="C215" s="14"/>
    </row>
    <row r="216" ht="15.75" customHeight="1">
      <c r="B216" s="14"/>
      <c r="C216" s="14"/>
    </row>
    <row r="217" ht="15.75" customHeight="1">
      <c r="B217" s="14"/>
      <c r="C217" s="14"/>
    </row>
    <row r="218" ht="15.75" customHeight="1">
      <c r="B218" s="14"/>
      <c r="C218" s="14"/>
    </row>
    <row r="219" ht="15.75" customHeight="1">
      <c r="B219" s="14"/>
      <c r="C219" s="14"/>
    </row>
    <row r="220" ht="15.75" customHeight="1">
      <c r="B220" s="14"/>
      <c r="C220" s="14"/>
    </row>
    <row r="221" ht="15.75" customHeight="1">
      <c r="B221" s="14"/>
      <c r="C221" s="14"/>
    </row>
    <row r="222" ht="15.75" customHeight="1">
      <c r="B222" s="14"/>
      <c r="C222" s="14"/>
    </row>
    <row r="223" ht="15.75" customHeight="1">
      <c r="B223" s="14"/>
      <c r="C223" s="14"/>
    </row>
    <row r="224" ht="15.75" customHeight="1">
      <c r="B224" s="14"/>
      <c r="C224" s="14"/>
    </row>
    <row r="225" ht="15.75" customHeight="1">
      <c r="B225" s="14"/>
      <c r="C225" s="14"/>
    </row>
    <row r="226" ht="15.75" customHeight="1">
      <c r="B226" s="14"/>
      <c r="C226" s="14"/>
    </row>
    <row r="227" ht="15.75" customHeight="1">
      <c r="B227" s="14"/>
      <c r="C227" s="14"/>
    </row>
    <row r="228" ht="15.75" customHeight="1">
      <c r="B228" s="14"/>
      <c r="C228" s="14"/>
    </row>
    <row r="229" ht="15.75" customHeight="1">
      <c r="B229" s="14"/>
      <c r="C229" s="14"/>
    </row>
    <row r="230" ht="15.75" customHeight="1">
      <c r="B230" s="14"/>
      <c r="C230" s="14"/>
    </row>
    <row r="231" ht="15.75" customHeight="1">
      <c r="B231" s="14"/>
      <c r="C231" s="14"/>
    </row>
    <row r="232" ht="15.75" customHeight="1">
      <c r="B232" s="14"/>
      <c r="C232" s="14"/>
    </row>
    <row r="233" ht="15.75" customHeight="1">
      <c r="B233" s="14"/>
      <c r="C233" s="14"/>
    </row>
    <row r="234" ht="15.75" customHeight="1">
      <c r="B234" s="14"/>
      <c r="C234" s="14"/>
    </row>
    <row r="235" ht="15.75" customHeight="1">
      <c r="B235" s="14"/>
      <c r="C235" s="14"/>
    </row>
    <row r="236" ht="15.75" customHeight="1">
      <c r="B236" s="14"/>
      <c r="C236" s="14"/>
    </row>
    <row r="237" ht="15.75" customHeight="1">
      <c r="B237" s="14"/>
      <c r="C237" s="14"/>
    </row>
    <row r="238" ht="15.75" customHeight="1">
      <c r="B238" s="14"/>
      <c r="C238" s="14"/>
    </row>
    <row r="239" ht="15.75" customHeight="1">
      <c r="B239" s="14"/>
      <c r="C239" s="14"/>
    </row>
    <row r="240" ht="15.75" customHeight="1">
      <c r="B240" s="14"/>
      <c r="C240" s="14"/>
    </row>
    <row r="241" ht="15.75" customHeight="1">
      <c r="B241" s="14"/>
      <c r="C241" s="14"/>
    </row>
    <row r="242" ht="15.75" customHeight="1">
      <c r="B242" s="14"/>
      <c r="C242" s="14"/>
    </row>
    <row r="243" ht="15.75" customHeight="1">
      <c r="B243" s="14"/>
      <c r="C243" s="14"/>
    </row>
    <row r="244" ht="15.75" customHeight="1">
      <c r="B244" s="14"/>
      <c r="C244" s="14"/>
    </row>
    <row r="245" ht="15.75" customHeight="1">
      <c r="B245" s="14"/>
      <c r="C245" s="14"/>
    </row>
    <row r="246" ht="15.75" customHeight="1">
      <c r="B246" s="14"/>
      <c r="C246" s="14"/>
    </row>
    <row r="247" ht="15.75" customHeight="1">
      <c r="B247" s="14"/>
      <c r="C247" s="14"/>
    </row>
    <row r="248" ht="15.75" customHeight="1">
      <c r="B248" s="14"/>
      <c r="C248" s="14"/>
    </row>
    <row r="249" ht="15.75" customHeight="1">
      <c r="B249" s="14"/>
      <c r="C249" s="14"/>
    </row>
    <row r="250" ht="15.75" customHeight="1">
      <c r="B250" s="14"/>
      <c r="C250" s="14"/>
    </row>
    <row r="251" ht="15.75" customHeight="1">
      <c r="B251" s="14"/>
      <c r="C251" s="14"/>
    </row>
    <row r="252" ht="15.75" customHeight="1">
      <c r="B252" s="14"/>
      <c r="C252" s="14"/>
    </row>
    <row r="253" ht="15.75" customHeight="1">
      <c r="B253" s="14"/>
      <c r="C253" s="14"/>
    </row>
    <row r="254" ht="15.75" customHeight="1">
      <c r="B254" s="14"/>
      <c r="C254" s="14"/>
    </row>
    <row r="255" ht="15.75" customHeight="1">
      <c r="B255" s="14"/>
      <c r="C255" s="14"/>
    </row>
    <row r="256" ht="15.75" customHeight="1">
      <c r="B256" s="14"/>
      <c r="C256" s="14"/>
    </row>
    <row r="257" ht="15.75" customHeight="1">
      <c r="B257" s="14"/>
      <c r="C257" s="14"/>
    </row>
    <row r="258" ht="15.75" customHeight="1">
      <c r="B258" s="14"/>
      <c r="C258" s="14"/>
    </row>
    <row r="259" ht="15.75" customHeight="1">
      <c r="B259" s="14"/>
      <c r="C259" s="14"/>
    </row>
    <row r="260" ht="15.75" customHeight="1">
      <c r="B260" s="14"/>
      <c r="C260" s="14"/>
    </row>
    <row r="261" ht="15.75" customHeight="1">
      <c r="B261" s="14"/>
      <c r="C261" s="14"/>
    </row>
    <row r="262" ht="15.75" customHeight="1">
      <c r="B262" s="14"/>
      <c r="C262" s="14"/>
    </row>
    <row r="263" ht="15.75" customHeight="1">
      <c r="B263" s="14"/>
      <c r="C263" s="14"/>
    </row>
    <row r="264" ht="15.75" customHeight="1">
      <c r="B264" s="14"/>
      <c r="C264" s="14"/>
    </row>
    <row r="265" ht="15.75" customHeight="1">
      <c r="B265" s="14"/>
      <c r="C265" s="14"/>
    </row>
    <row r="266" ht="15.75" customHeight="1">
      <c r="B266" s="14"/>
      <c r="C266" s="14"/>
    </row>
    <row r="267" ht="15.75" customHeight="1">
      <c r="B267" s="14"/>
      <c r="C267" s="14"/>
    </row>
    <row r="268" ht="15.75" customHeight="1">
      <c r="B268" s="14"/>
      <c r="C268" s="14"/>
    </row>
    <row r="269" ht="15.75" customHeight="1">
      <c r="B269" s="14"/>
      <c r="C269" s="14"/>
    </row>
    <row r="270" ht="15.75" customHeight="1">
      <c r="B270" s="14"/>
      <c r="C270" s="14"/>
    </row>
    <row r="271" ht="15.75" customHeight="1">
      <c r="B271" s="14"/>
      <c r="C271" s="14"/>
    </row>
    <row r="272" ht="15.75" customHeight="1">
      <c r="B272" s="14"/>
      <c r="C272" s="14"/>
    </row>
    <row r="273" ht="15.75" customHeight="1">
      <c r="B273" s="14"/>
      <c r="C273" s="14"/>
    </row>
    <row r="274" ht="15.75" customHeight="1">
      <c r="B274" s="14"/>
      <c r="C274" s="14"/>
    </row>
    <row r="275" ht="15.75" customHeight="1">
      <c r="B275" s="14"/>
      <c r="C275" s="14"/>
    </row>
    <row r="276" ht="15.75" customHeight="1">
      <c r="B276" s="14"/>
      <c r="C276" s="14"/>
    </row>
    <row r="277" ht="15.75" customHeight="1">
      <c r="B277" s="14"/>
      <c r="C277" s="14"/>
    </row>
    <row r="278" ht="15.75" customHeight="1">
      <c r="B278" s="14"/>
      <c r="C278" s="14"/>
    </row>
    <row r="279" ht="15.75" customHeight="1">
      <c r="B279" s="14"/>
      <c r="C279" s="14"/>
    </row>
    <row r="280" ht="15.75" customHeight="1">
      <c r="B280" s="14"/>
      <c r="C280" s="14"/>
    </row>
    <row r="281" ht="15.75" customHeight="1">
      <c r="B281" s="14"/>
      <c r="C281" s="14"/>
    </row>
    <row r="282" ht="15.75" customHeight="1">
      <c r="B282" s="14"/>
      <c r="C282" s="14"/>
    </row>
    <row r="283" ht="15.75" customHeight="1">
      <c r="B283" s="14"/>
      <c r="C283" s="14"/>
    </row>
    <row r="284" ht="15.75" customHeight="1">
      <c r="B284" s="14"/>
      <c r="C284" s="14"/>
    </row>
    <row r="285" ht="15.75" customHeight="1">
      <c r="B285" s="14"/>
      <c r="C285" s="14"/>
    </row>
    <row r="286" ht="15.75" customHeight="1">
      <c r="B286" s="14"/>
      <c r="C286" s="14"/>
    </row>
    <row r="287" ht="15.75" customHeight="1">
      <c r="B287" s="14"/>
      <c r="C287" s="14"/>
    </row>
    <row r="288" ht="15.75" customHeight="1">
      <c r="B288" s="14"/>
      <c r="C288" s="14"/>
    </row>
    <row r="289" ht="15.75" customHeight="1">
      <c r="B289" s="14"/>
      <c r="C289" s="14"/>
    </row>
    <row r="290" ht="15.75" customHeight="1">
      <c r="B290" s="14"/>
      <c r="C290" s="14"/>
    </row>
    <row r="291" ht="15.75" customHeight="1">
      <c r="B291" s="14"/>
      <c r="C291" s="14"/>
    </row>
    <row r="292" ht="15.75" customHeight="1">
      <c r="B292" s="14"/>
      <c r="C292" s="14"/>
    </row>
    <row r="293" ht="15.75" customHeight="1">
      <c r="B293" s="14"/>
      <c r="C293" s="14"/>
    </row>
    <row r="294" ht="15.75" customHeight="1">
      <c r="B294" s="14"/>
      <c r="C294" s="14"/>
    </row>
    <row r="295" ht="15.75" customHeight="1">
      <c r="B295" s="14"/>
      <c r="C295" s="14"/>
    </row>
    <row r="296" ht="15.75" customHeight="1">
      <c r="B296" s="14"/>
      <c r="C296" s="14"/>
    </row>
    <row r="297" ht="15.75" customHeight="1">
      <c r="B297" s="14"/>
      <c r="C297" s="14"/>
    </row>
    <row r="298" ht="15.75" customHeight="1">
      <c r="B298" s="14"/>
      <c r="C298" s="14"/>
    </row>
    <row r="299" ht="15.75" customHeight="1">
      <c r="B299" s="14"/>
      <c r="C299" s="14"/>
    </row>
    <row r="300" ht="15.75" customHeight="1">
      <c r="B300" s="14"/>
      <c r="C300" s="14"/>
    </row>
    <row r="301" ht="15.75" customHeight="1">
      <c r="B301" s="14"/>
      <c r="C301" s="14"/>
    </row>
    <row r="302" ht="15.75" customHeight="1">
      <c r="B302" s="14"/>
      <c r="C302" s="14"/>
    </row>
    <row r="303" ht="15.75" customHeight="1">
      <c r="B303" s="14"/>
      <c r="C303" s="14"/>
    </row>
    <row r="304" ht="15.75" customHeight="1">
      <c r="B304" s="14"/>
      <c r="C304" s="14"/>
    </row>
    <row r="305" ht="15.75" customHeight="1">
      <c r="B305" s="14"/>
      <c r="C305" s="14"/>
    </row>
    <row r="306" ht="15.75" customHeight="1">
      <c r="B306" s="14"/>
      <c r="C306" s="14"/>
    </row>
    <row r="307" ht="15.75" customHeight="1">
      <c r="B307" s="14"/>
      <c r="C307" s="14"/>
    </row>
    <row r="308" ht="15.75" customHeight="1">
      <c r="B308" s="14"/>
      <c r="C308" s="14"/>
    </row>
    <row r="309" ht="15.75" customHeight="1">
      <c r="B309" s="14"/>
      <c r="C309" s="14"/>
    </row>
    <row r="310" ht="15.75" customHeight="1">
      <c r="B310" s="14"/>
      <c r="C310" s="14"/>
    </row>
    <row r="311" ht="15.75" customHeight="1">
      <c r="B311" s="14"/>
      <c r="C311" s="14"/>
    </row>
    <row r="312" ht="15.75" customHeight="1">
      <c r="B312" s="14"/>
      <c r="C312" s="14"/>
    </row>
    <row r="313" ht="15.75" customHeight="1">
      <c r="B313" s="14"/>
      <c r="C313" s="14"/>
    </row>
    <row r="314" ht="15.75" customHeight="1">
      <c r="B314" s="14"/>
      <c r="C314" s="14"/>
    </row>
    <row r="315" ht="15.75" customHeight="1">
      <c r="B315" s="14"/>
      <c r="C315" s="14"/>
    </row>
    <row r="316" ht="15.75" customHeight="1">
      <c r="B316" s="14"/>
      <c r="C316" s="14"/>
    </row>
    <row r="317" ht="15.75" customHeight="1">
      <c r="B317" s="14"/>
      <c r="C317" s="14"/>
    </row>
    <row r="318" ht="15.75" customHeight="1">
      <c r="B318" s="14"/>
      <c r="C318" s="14"/>
    </row>
    <row r="319" ht="15.75" customHeight="1">
      <c r="B319" s="14"/>
      <c r="C319" s="14"/>
    </row>
    <row r="320" ht="15.75" customHeight="1">
      <c r="B320" s="14"/>
      <c r="C320" s="14"/>
    </row>
    <row r="321" ht="15.75" customHeight="1">
      <c r="B321" s="14"/>
      <c r="C321" s="14"/>
    </row>
    <row r="322" ht="15.75" customHeight="1">
      <c r="B322" s="14"/>
      <c r="C322" s="14"/>
    </row>
    <row r="323" ht="15.75" customHeight="1">
      <c r="B323" s="14"/>
      <c r="C323" s="14"/>
    </row>
    <row r="324" ht="15.75" customHeight="1">
      <c r="B324" s="14"/>
      <c r="C324" s="14"/>
    </row>
    <row r="325" ht="15.75" customHeight="1">
      <c r="B325" s="14"/>
      <c r="C325" s="14"/>
    </row>
    <row r="326" ht="15.75" customHeight="1">
      <c r="B326" s="14"/>
      <c r="C326" s="14"/>
    </row>
    <row r="327" ht="15.75" customHeight="1">
      <c r="B327" s="14"/>
      <c r="C327" s="14"/>
    </row>
    <row r="328" ht="15.75" customHeight="1">
      <c r="B328" s="14"/>
      <c r="C328" s="14"/>
    </row>
    <row r="329" ht="15.75" customHeight="1">
      <c r="B329" s="14"/>
      <c r="C329" s="14"/>
    </row>
    <row r="330" ht="15.75" customHeight="1">
      <c r="B330" s="14"/>
      <c r="C330" s="14"/>
    </row>
    <row r="331" ht="15.75" customHeight="1">
      <c r="B331" s="14"/>
      <c r="C331" s="14"/>
    </row>
    <row r="332" ht="15.75" customHeight="1">
      <c r="B332" s="14"/>
      <c r="C332" s="14"/>
    </row>
    <row r="333" ht="15.75" customHeight="1">
      <c r="B333" s="14"/>
      <c r="C333" s="14"/>
    </row>
    <row r="334" ht="15.75" customHeight="1">
      <c r="B334" s="14"/>
      <c r="C334" s="14"/>
    </row>
    <row r="335" ht="15.75" customHeight="1">
      <c r="B335" s="14"/>
      <c r="C335" s="14"/>
    </row>
    <row r="336" ht="15.75" customHeight="1">
      <c r="B336" s="14"/>
      <c r="C336" s="14"/>
    </row>
    <row r="337" ht="15.75" customHeight="1">
      <c r="B337" s="14"/>
      <c r="C337" s="14"/>
    </row>
    <row r="338" ht="15.75" customHeight="1">
      <c r="B338" s="14"/>
      <c r="C338" s="14"/>
    </row>
    <row r="339" ht="15.75" customHeight="1">
      <c r="B339" s="14"/>
      <c r="C339" s="14"/>
    </row>
    <row r="340" ht="15.75" customHeight="1">
      <c r="B340" s="14"/>
      <c r="C340" s="14"/>
    </row>
    <row r="341" ht="15.75" customHeight="1">
      <c r="B341" s="14"/>
      <c r="C341" s="14"/>
    </row>
    <row r="342" ht="15.75" customHeight="1">
      <c r="B342" s="14"/>
      <c r="C342" s="14"/>
    </row>
    <row r="343" ht="15.75" customHeight="1">
      <c r="B343" s="14"/>
      <c r="C343" s="14"/>
    </row>
    <row r="344" ht="15.75" customHeight="1">
      <c r="B344" s="14"/>
      <c r="C344" s="14"/>
    </row>
    <row r="345" ht="15.75" customHeight="1">
      <c r="B345" s="14"/>
      <c r="C345" s="14"/>
    </row>
    <row r="346" ht="15.75" customHeight="1">
      <c r="B346" s="14"/>
      <c r="C346" s="14"/>
    </row>
    <row r="347" ht="15.75" customHeight="1">
      <c r="B347" s="14"/>
      <c r="C347" s="14"/>
    </row>
    <row r="348" ht="15.75" customHeight="1">
      <c r="B348" s="14"/>
      <c r="C348" s="14"/>
    </row>
    <row r="349" ht="15.75" customHeight="1">
      <c r="B349" s="14"/>
      <c r="C349" s="14"/>
    </row>
    <row r="350" ht="15.75" customHeight="1">
      <c r="B350" s="14"/>
      <c r="C350" s="14"/>
    </row>
    <row r="351" ht="15.75" customHeight="1">
      <c r="B351" s="14"/>
      <c r="C351" s="14"/>
    </row>
    <row r="352" ht="15.75" customHeight="1">
      <c r="B352" s="14"/>
      <c r="C352" s="14"/>
    </row>
    <row r="353" ht="15.75" customHeight="1">
      <c r="B353" s="14"/>
      <c r="C353" s="14"/>
    </row>
    <row r="354" ht="15.75" customHeight="1">
      <c r="B354" s="14"/>
      <c r="C354" s="14"/>
    </row>
    <row r="355" ht="15.75" customHeight="1">
      <c r="B355" s="14"/>
      <c r="C355" s="14"/>
    </row>
    <row r="356" ht="15.75" customHeight="1">
      <c r="B356" s="14"/>
      <c r="C356" s="14"/>
    </row>
    <row r="357" ht="15.75" customHeight="1">
      <c r="B357" s="14"/>
      <c r="C357" s="14"/>
    </row>
    <row r="358" ht="15.75" customHeight="1">
      <c r="B358" s="14"/>
      <c r="C358" s="14"/>
    </row>
    <row r="359" ht="15.75" customHeight="1">
      <c r="B359" s="14"/>
      <c r="C359" s="14"/>
    </row>
    <row r="360" ht="15.75" customHeight="1">
      <c r="B360" s="14"/>
      <c r="C360" s="14"/>
    </row>
    <row r="361" ht="15.75" customHeight="1">
      <c r="B361" s="14"/>
      <c r="C361" s="14"/>
    </row>
    <row r="362" ht="15.75" customHeight="1">
      <c r="B362" s="14"/>
      <c r="C362" s="14"/>
    </row>
    <row r="363" ht="15.75" customHeight="1">
      <c r="B363" s="14"/>
      <c r="C363" s="14"/>
    </row>
    <row r="364" ht="15.75" customHeight="1">
      <c r="B364" s="14"/>
      <c r="C364" s="14"/>
    </row>
    <row r="365" ht="15.75" customHeight="1">
      <c r="B365" s="14"/>
      <c r="C365" s="14"/>
    </row>
    <row r="366" ht="15.75" customHeight="1">
      <c r="B366" s="14"/>
      <c r="C366" s="14"/>
    </row>
    <row r="367" ht="15.75" customHeight="1">
      <c r="B367" s="14"/>
      <c r="C367" s="14"/>
    </row>
    <row r="368" ht="15.75" customHeight="1">
      <c r="B368" s="14"/>
      <c r="C368" s="14"/>
    </row>
    <row r="369" ht="15.75" customHeight="1">
      <c r="B369" s="14"/>
      <c r="C369" s="14"/>
    </row>
    <row r="370" ht="15.75" customHeight="1">
      <c r="B370" s="14"/>
      <c r="C370" s="14"/>
    </row>
    <row r="371" ht="15.75" customHeight="1">
      <c r="B371" s="14"/>
      <c r="C371" s="14"/>
    </row>
    <row r="372" ht="15.75" customHeight="1">
      <c r="B372" s="14"/>
      <c r="C372" s="14"/>
    </row>
    <row r="373" ht="15.75" customHeight="1">
      <c r="B373" s="14"/>
      <c r="C373" s="14"/>
    </row>
    <row r="374" ht="15.75" customHeight="1">
      <c r="B374" s="14"/>
      <c r="C374" s="14"/>
    </row>
    <row r="375" ht="15.75" customHeight="1">
      <c r="B375" s="14"/>
      <c r="C375" s="14"/>
    </row>
    <row r="376" ht="15.75" customHeight="1">
      <c r="B376" s="14"/>
      <c r="C376" s="14"/>
    </row>
    <row r="377" ht="15.75" customHeight="1">
      <c r="B377" s="14"/>
      <c r="C377" s="14"/>
    </row>
    <row r="378" ht="15.75" customHeight="1">
      <c r="B378" s="14"/>
      <c r="C378" s="14"/>
    </row>
    <row r="379" ht="15.75" customHeight="1">
      <c r="B379" s="14"/>
      <c r="C379" s="14"/>
    </row>
    <row r="380" ht="15.75" customHeight="1">
      <c r="B380" s="14"/>
      <c r="C380" s="14"/>
    </row>
    <row r="381" ht="15.75" customHeight="1">
      <c r="B381" s="14"/>
      <c r="C381" s="14"/>
    </row>
    <row r="382" ht="15.75" customHeight="1">
      <c r="B382" s="14"/>
      <c r="C382" s="14"/>
    </row>
    <row r="383" ht="15.75" customHeight="1">
      <c r="B383" s="14"/>
      <c r="C383" s="14"/>
    </row>
    <row r="384" ht="15.75" customHeight="1">
      <c r="B384" s="14"/>
      <c r="C384" s="14"/>
    </row>
    <row r="385" ht="15.75" customHeight="1">
      <c r="B385" s="14"/>
      <c r="C385" s="14"/>
    </row>
    <row r="386" ht="15.75" customHeight="1">
      <c r="B386" s="14"/>
      <c r="C386" s="14"/>
    </row>
    <row r="387" ht="15.75" customHeight="1">
      <c r="B387" s="14"/>
      <c r="C387" s="14"/>
    </row>
    <row r="388" ht="15.75" customHeight="1">
      <c r="B388" s="14"/>
      <c r="C388" s="14"/>
    </row>
    <row r="389" ht="15.75" customHeight="1">
      <c r="B389" s="14"/>
      <c r="C389" s="14"/>
    </row>
    <row r="390" ht="15.75" customHeight="1">
      <c r="B390" s="14"/>
      <c r="C390" s="14"/>
    </row>
    <row r="391" ht="15.75" customHeight="1">
      <c r="B391" s="14"/>
      <c r="C391" s="14"/>
    </row>
    <row r="392" ht="15.75" customHeight="1">
      <c r="B392" s="14"/>
      <c r="C392" s="14"/>
    </row>
    <row r="393" ht="15.75" customHeight="1">
      <c r="B393" s="14"/>
      <c r="C393" s="14"/>
    </row>
    <row r="394" ht="15.75" customHeight="1">
      <c r="B394" s="14"/>
      <c r="C394" s="14"/>
    </row>
    <row r="395" ht="15.75" customHeight="1">
      <c r="B395" s="14"/>
      <c r="C395" s="14"/>
    </row>
    <row r="396" ht="15.75" customHeight="1">
      <c r="B396" s="14"/>
      <c r="C396" s="14"/>
    </row>
    <row r="397" ht="15.75" customHeight="1">
      <c r="B397" s="14"/>
      <c r="C397" s="14"/>
    </row>
    <row r="398" ht="15.75" customHeight="1">
      <c r="B398" s="14"/>
      <c r="C398" s="14"/>
    </row>
    <row r="399" ht="15.75" customHeight="1">
      <c r="B399" s="14"/>
      <c r="C399" s="14"/>
    </row>
    <row r="400" ht="15.75" customHeight="1">
      <c r="B400" s="14"/>
      <c r="C400" s="14"/>
    </row>
    <row r="401" ht="15.75" customHeight="1">
      <c r="B401" s="14"/>
      <c r="C401" s="14"/>
    </row>
    <row r="402" ht="15.75" customHeight="1">
      <c r="B402" s="14"/>
      <c r="C402" s="14"/>
    </row>
    <row r="403" ht="15.75" customHeight="1">
      <c r="B403" s="14"/>
      <c r="C403" s="14"/>
    </row>
    <row r="404" ht="15.75" customHeight="1">
      <c r="B404" s="14"/>
      <c r="C404" s="14"/>
    </row>
    <row r="405" ht="15.75" customHeight="1">
      <c r="B405" s="14"/>
      <c r="C405" s="14"/>
    </row>
    <row r="406" ht="15.75" customHeight="1">
      <c r="B406" s="14"/>
      <c r="C406" s="14"/>
    </row>
    <row r="407" ht="15.75" customHeight="1">
      <c r="B407" s="14"/>
      <c r="C407" s="14"/>
    </row>
    <row r="408" ht="15.75" customHeight="1">
      <c r="B408" s="14"/>
      <c r="C408" s="14"/>
    </row>
    <row r="409" ht="15.75" customHeight="1">
      <c r="B409" s="14"/>
      <c r="C409" s="14"/>
    </row>
    <row r="410" ht="15.75" customHeight="1">
      <c r="B410" s="14"/>
      <c r="C410" s="14"/>
    </row>
    <row r="411" ht="15.75" customHeight="1">
      <c r="B411" s="14"/>
      <c r="C411" s="14"/>
    </row>
    <row r="412" ht="15.75" customHeight="1">
      <c r="B412" s="14"/>
      <c r="C412" s="14"/>
    </row>
    <row r="413" ht="15.75" customHeight="1">
      <c r="B413" s="14"/>
      <c r="C413" s="14"/>
    </row>
    <row r="414" ht="15.75" customHeight="1">
      <c r="B414" s="14"/>
      <c r="C414" s="14"/>
    </row>
    <row r="415" ht="15.75" customHeight="1">
      <c r="B415" s="14"/>
      <c r="C415" s="14"/>
    </row>
    <row r="416" ht="15.75" customHeight="1">
      <c r="B416" s="14"/>
      <c r="C416" s="14"/>
    </row>
    <row r="417" ht="15.75" customHeight="1">
      <c r="B417" s="14"/>
      <c r="C417" s="14"/>
    </row>
    <row r="418" ht="15.75" customHeight="1">
      <c r="B418" s="14"/>
      <c r="C418" s="14"/>
    </row>
    <row r="419" ht="15.75" customHeight="1">
      <c r="B419" s="14"/>
      <c r="C419" s="14"/>
    </row>
    <row r="420" ht="15.75" customHeight="1">
      <c r="B420" s="14"/>
      <c r="C420" s="14"/>
    </row>
    <row r="421" ht="15.75" customHeight="1">
      <c r="B421" s="14"/>
      <c r="C421" s="14"/>
    </row>
    <row r="422" ht="15.75" customHeight="1">
      <c r="B422" s="14"/>
      <c r="C422" s="14"/>
    </row>
    <row r="423" ht="15.75" customHeight="1">
      <c r="B423" s="14"/>
      <c r="C423" s="14"/>
    </row>
    <row r="424" ht="15.75" customHeight="1">
      <c r="B424" s="14"/>
      <c r="C424" s="14"/>
    </row>
    <row r="425" ht="15.75" customHeight="1">
      <c r="B425" s="14"/>
      <c r="C425" s="14"/>
    </row>
    <row r="426" ht="15.75" customHeight="1">
      <c r="B426" s="14"/>
      <c r="C426" s="14"/>
    </row>
    <row r="427" ht="15.75" customHeight="1">
      <c r="B427" s="14"/>
      <c r="C427" s="14"/>
    </row>
    <row r="428" ht="15.75" customHeight="1">
      <c r="B428" s="14"/>
      <c r="C428" s="14"/>
    </row>
    <row r="429" ht="15.75" customHeight="1">
      <c r="B429" s="14"/>
      <c r="C429" s="14"/>
    </row>
    <row r="430" ht="15.75" customHeight="1">
      <c r="B430" s="14"/>
      <c r="C430" s="14"/>
    </row>
    <row r="431" ht="15.75" customHeight="1">
      <c r="B431" s="14"/>
      <c r="C431" s="14"/>
    </row>
    <row r="432" ht="15.75" customHeight="1">
      <c r="B432" s="14"/>
      <c r="C432" s="14"/>
    </row>
    <row r="433" ht="15.75" customHeight="1">
      <c r="B433" s="14"/>
      <c r="C433" s="14"/>
    </row>
    <row r="434" ht="15.75" customHeight="1">
      <c r="B434" s="14"/>
      <c r="C434" s="14"/>
    </row>
    <row r="435" ht="15.75" customHeight="1">
      <c r="B435" s="14"/>
      <c r="C435" s="14"/>
    </row>
    <row r="436" ht="15.75" customHeight="1">
      <c r="B436" s="14"/>
      <c r="C436" s="14"/>
    </row>
    <row r="437" ht="15.75" customHeight="1">
      <c r="B437" s="14"/>
      <c r="C437" s="14"/>
    </row>
    <row r="438" ht="15.75" customHeight="1">
      <c r="B438" s="14"/>
      <c r="C438" s="14"/>
    </row>
    <row r="439" ht="15.75" customHeight="1">
      <c r="B439" s="14"/>
      <c r="C439" s="14"/>
    </row>
    <row r="440" ht="15.75" customHeight="1">
      <c r="B440" s="14"/>
      <c r="C440" s="14"/>
    </row>
    <row r="441" ht="15.75" customHeight="1">
      <c r="B441" s="14"/>
      <c r="C441" s="14"/>
    </row>
    <row r="442" ht="15.75" customHeight="1">
      <c r="B442" s="14"/>
      <c r="C442" s="14"/>
    </row>
    <row r="443" ht="15.75" customHeight="1">
      <c r="B443" s="14"/>
      <c r="C443" s="14"/>
    </row>
    <row r="444" ht="15.75" customHeight="1">
      <c r="B444" s="14"/>
      <c r="C444" s="14"/>
    </row>
    <row r="445" ht="15.75" customHeight="1">
      <c r="B445" s="14"/>
      <c r="C445" s="14"/>
    </row>
    <row r="446" ht="15.75" customHeight="1">
      <c r="B446" s="14"/>
      <c r="C446" s="14"/>
    </row>
    <row r="447" ht="15.75" customHeight="1">
      <c r="B447" s="14"/>
      <c r="C447" s="14"/>
    </row>
    <row r="448" ht="15.75" customHeight="1">
      <c r="B448" s="14"/>
      <c r="C448" s="14"/>
    </row>
    <row r="449" ht="15.75" customHeight="1">
      <c r="B449" s="14"/>
      <c r="C449" s="14"/>
    </row>
    <row r="450" ht="15.75" customHeight="1">
      <c r="B450" s="14"/>
      <c r="C450" s="14"/>
    </row>
    <row r="451" ht="15.75" customHeight="1">
      <c r="B451" s="14"/>
      <c r="C451" s="14"/>
    </row>
    <row r="452" ht="15.75" customHeight="1">
      <c r="B452" s="14"/>
      <c r="C452" s="14"/>
    </row>
    <row r="453" ht="15.75" customHeight="1">
      <c r="B453" s="14"/>
      <c r="C453" s="14"/>
    </row>
    <row r="454" ht="15.75" customHeight="1">
      <c r="B454" s="14"/>
      <c r="C454" s="14"/>
    </row>
    <row r="455" ht="15.75" customHeight="1">
      <c r="B455" s="14"/>
      <c r="C455" s="14"/>
    </row>
    <row r="456" ht="15.75" customHeight="1">
      <c r="B456" s="14"/>
      <c r="C456" s="14"/>
    </row>
    <row r="457" ht="15.75" customHeight="1">
      <c r="B457" s="14"/>
      <c r="C457" s="14"/>
    </row>
    <row r="458" ht="15.75" customHeight="1">
      <c r="B458" s="14"/>
      <c r="C458" s="14"/>
    </row>
    <row r="459" ht="15.75" customHeight="1">
      <c r="B459" s="14"/>
      <c r="C459" s="14"/>
    </row>
    <row r="460" ht="15.75" customHeight="1">
      <c r="B460" s="14"/>
      <c r="C460" s="14"/>
    </row>
    <row r="461" ht="15.75" customHeight="1">
      <c r="B461" s="14"/>
      <c r="C461" s="14"/>
    </row>
    <row r="462" ht="15.75" customHeight="1">
      <c r="B462" s="14"/>
      <c r="C462" s="14"/>
    </row>
    <row r="463" ht="15.75" customHeight="1">
      <c r="B463" s="14"/>
      <c r="C463" s="14"/>
    </row>
    <row r="464" ht="15.75" customHeight="1">
      <c r="B464" s="14"/>
      <c r="C464" s="14"/>
    </row>
    <row r="465" ht="15.75" customHeight="1">
      <c r="B465" s="14"/>
      <c r="C465" s="14"/>
    </row>
    <row r="466" ht="15.75" customHeight="1">
      <c r="B466" s="14"/>
      <c r="C466" s="14"/>
    </row>
    <row r="467" ht="15.75" customHeight="1">
      <c r="B467" s="14"/>
      <c r="C467" s="14"/>
    </row>
    <row r="468" ht="15.75" customHeight="1">
      <c r="B468" s="14"/>
      <c r="C468" s="14"/>
    </row>
    <row r="469" ht="15.75" customHeight="1">
      <c r="B469" s="14"/>
      <c r="C469" s="14"/>
    </row>
    <row r="470" ht="15.75" customHeight="1">
      <c r="B470" s="14"/>
      <c r="C470" s="14"/>
    </row>
    <row r="471" ht="15.75" customHeight="1">
      <c r="B471" s="14"/>
      <c r="C471" s="14"/>
    </row>
    <row r="472" ht="15.75" customHeight="1">
      <c r="B472" s="14"/>
      <c r="C472" s="14"/>
    </row>
    <row r="473" ht="15.75" customHeight="1">
      <c r="B473" s="14"/>
      <c r="C473" s="14"/>
    </row>
    <row r="474" ht="15.75" customHeight="1">
      <c r="B474" s="14"/>
      <c r="C474" s="14"/>
    </row>
    <row r="475" ht="15.75" customHeight="1">
      <c r="B475" s="14"/>
      <c r="C475" s="14"/>
    </row>
    <row r="476" ht="15.75" customHeight="1">
      <c r="B476" s="14"/>
      <c r="C476" s="14"/>
    </row>
    <row r="477" ht="15.75" customHeight="1">
      <c r="B477" s="14"/>
      <c r="C477" s="14"/>
    </row>
    <row r="478" ht="15.75" customHeight="1">
      <c r="B478" s="14"/>
      <c r="C478" s="14"/>
    </row>
    <row r="479" ht="15.75" customHeight="1">
      <c r="B479" s="14"/>
      <c r="C479" s="14"/>
    </row>
    <row r="480" ht="15.75" customHeight="1">
      <c r="B480" s="14"/>
      <c r="C480" s="14"/>
    </row>
    <row r="481" ht="15.75" customHeight="1">
      <c r="B481" s="14"/>
      <c r="C481" s="14"/>
    </row>
    <row r="482" ht="15.75" customHeight="1">
      <c r="B482" s="14"/>
      <c r="C482" s="14"/>
    </row>
    <row r="483" ht="15.75" customHeight="1">
      <c r="B483" s="14"/>
      <c r="C483" s="14"/>
    </row>
    <row r="484" ht="15.75" customHeight="1">
      <c r="B484" s="14"/>
      <c r="C484" s="14"/>
    </row>
    <row r="485" ht="15.75" customHeight="1">
      <c r="B485" s="14"/>
      <c r="C485" s="14"/>
    </row>
    <row r="486" ht="15.75" customHeight="1">
      <c r="B486" s="14"/>
      <c r="C486" s="14"/>
    </row>
    <row r="487" ht="15.75" customHeight="1">
      <c r="B487" s="14"/>
      <c r="C487" s="14"/>
    </row>
    <row r="488" ht="15.75" customHeight="1">
      <c r="B488" s="14"/>
      <c r="C488" s="14"/>
    </row>
    <row r="489" ht="15.75" customHeight="1">
      <c r="B489" s="14"/>
      <c r="C489" s="14"/>
    </row>
    <row r="490" ht="15.75" customHeight="1">
      <c r="B490" s="14"/>
      <c r="C490" s="14"/>
    </row>
    <row r="491" ht="15.75" customHeight="1">
      <c r="B491" s="14"/>
      <c r="C491" s="14"/>
    </row>
    <row r="492" ht="15.75" customHeight="1">
      <c r="B492" s="14"/>
      <c r="C492" s="14"/>
    </row>
    <row r="493" ht="15.75" customHeight="1">
      <c r="B493" s="14"/>
      <c r="C493" s="14"/>
    </row>
    <row r="494" ht="15.75" customHeight="1">
      <c r="B494" s="14"/>
      <c r="C494" s="14"/>
    </row>
    <row r="495" ht="15.75" customHeight="1">
      <c r="B495" s="14"/>
      <c r="C495" s="14"/>
    </row>
    <row r="496" ht="15.75" customHeight="1">
      <c r="B496" s="14"/>
      <c r="C496" s="14"/>
    </row>
    <row r="497" ht="15.75" customHeight="1">
      <c r="B497" s="14"/>
      <c r="C497" s="14"/>
    </row>
    <row r="498" ht="15.75" customHeight="1">
      <c r="B498" s="14"/>
      <c r="C498" s="14"/>
    </row>
    <row r="499" ht="15.75" customHeight="1">
      <c r="B499" s="14"/>
      <c r="C499" s="14"/>
    </row>
    <row r="500" ht="15.75" customHeight="1">
      <c r="B500" s="14"/>
      <c r="C500" s="14"/>
    </row>
    <row r="501" ht="15.75" customHeight="1">
      <c r="B501" s="14"/>
      <c r="C501" s="14"/>
    </row>
    <row r="502" ht="15.75" customHeight="1">
      <c r="B502" s="14"/>
      <c r="C502" s="14"/>
    </row>
    <row r="503" ht="15.75" customHeight="1">
      <c r="B503" s="14"/>
      <c r="C503" s="14"/>
    </row>
    <row r="504" ht="15.75" customHeight="1">
      <c r="B504" s="14"/>
      <c r="C504" s="14"/>
    </row>
    <row r="505" ht="15.75" customHeight="1">
      <c r="B505" s="14"/>
      <c r="C505" s="14"/>
    </row>
    <row r="506" ht="15.75" customHeight="1">
      <c r="B506" s="14"/>
      <c r="C506" s="14"/>
    </row>
    <row r="507" ht="15.75" customHeight="1">
      <c r="B507" s="14"/>
      <c r="C507" s="14"/>
    </row>
    <row r="508" ht="15.75" customHeight="1">
      <c r="B508" s="14"/>
      <c r="C508" s="14"/>
    </row>
    <row r="509" ht="15.75" customHeight="1">
      <c r="B509" s="14"/>
      <c r="C509" s="14"/>
    </row>
    <row r="510" ht="15.75" customHeight="1">
      <c r="B510" s="14"/>
      <c r="C510" s="14"/>
    </row>
    <row r="511" ht="15.75" customHeight="1">
      <c r="B511" s="14"/>
      <c r="C511" s="14"/>
    </row>
    <row r="512" ht="15.75" customHeight="1">
      <c r="B512" s="14"/>
      <c r="C512" s="14"/>
    </row>
    <row r="513" ht="15.75" customHeight="1">
      <c r="B513" s="14"/>
      <c r="C513" s="14"/>
    </row>
    <row r="514" ht="15.75" customHeight="1">
      <c r="B514" s="14"/>
      <c r="C514" s="14"/>
    </row>
    <row r="515" ht="15.75" customHeight="1">
      <c r="B515" s="14"/>
      <c r="C515" s="14"/>
    </row>
    <row r="516" ht="15.75" customHeight="1">
      <c r="B516" s="14"/>
      <c r="C516" s="14"/>
    </row>
    <row r="517" ht="15.75" customHeight="1">
      <c r="B517" s="14"/>
      <c r="C517" s="14"/>
    </row>
    <row r="518" ht="15.75" customHeight="1">
      <c r="B518" s="14"/>
      <c r="C518" s="14"/>
    </row>
    <row r="519" ht="15.75" customHeight="1">
      <c r="B519" s="14"/>
      <c r="C519" s="14"/>
    </row>
    <row r="520" ht="15.75" customHeight="1">
      <c r="B520" s="14"/>
      <c r="C520" s="14"/>
    </row>
    <row r="521" ht="15.75" customHeight="1">
      <c r="B521" s="14"/>
      <c r="C521" s="14"/>
    </row>
    <row r="522" ht="15.75" customHeight="1">
      <c r="B522" s="14"/>
      <c r="C522" s="14"/>
    </row>
    <row r="523" ht="15.75" customHeight="1">
      <c r="B523" s="14"/>
      <c r="C523" s="14"/>
    </row>
    <row r="524" ht="15.75" customHeight="1">
      <c r="B524" s="14"/>
      <c r="C524" s="14"/>
    </row>
    <row r="525" ht="15.75" customHeight="1">
      <c r="B525" s="14"/>
      <c r="C525" s="14"/>
    </row>
    <row r="526" ht="15.75" customHeight="1">
      <c r="B526" s="14"/>
      <c r="C526" s="14"/>
    </row>
    <row r="527" ht="15.75" customHeight="1">
      <c r="B527" s="14"/>
      <c r="C527" s="14"/>
    </row>
    <row r="528" ht="15.75" customHeight="1">
      <c r="B528" s="14"/>
      <c r="C528" s="14"/>
    </row>
    <row r="529" ht="15.75" customHeight="1">
      <c r="B529" s="14"/>
      <c r="C529" s="14"/>
    </row>
    <row r="530" ht="15.75" customHeight="1">
      <c r="B530" s="14"/>
      <c r="C530" s="14"/>
    </row>
    <row r="531" ht="15.75" customHeight="1">
      <c r="B531" s="14"/>
      <c r="C531" s="14"/>
    </row>
    <row r="532" ht="15.75" customHeight="1">
      <c r="B532" s="14"/>
      <c r="C532" s="14"/>
    </row>
    <row r="533" ht="15.75" customHeight="1">
      <c r="B533" s="14"/>
      <c r="C533" s="14"/>
    </row>
    <row r="534" ht="15.75" customHeight="1">
      <c r="B534" s="14"/>
      <c r="C534" s="14"/>
    </row>
    <row r="535" ht="15.75" customHeight="1">
      <c r="B535" s="14"/>
      <c r="C535" s="14"/>
    </row>
    <row r="536" ht="15.75" customHeight="1">
      <c r="B536" s="14"/>
      <c r="C536" s="14"/>
    </row>
    <row r="537" ht="15.75" customHeight="1">
      <c r="B537" s="14"/>
      <c r="C537" s="14"/>
    </row>
    <row r="538" ht="15.75" customHeight="1">
      <c r="B538" s="14"/>
      <c r="C538" s="14"/>
    </row>
    <row r="539" ht="15.75" customHeight="1">
      <c r="B539" s="14"/>
      <c r="C539" s="14"/>
    </row>
    <row r="540" ht="15.75" customHeight="1">
      <c r="B540" s="14"/>
      <c r="C540" s="14"/>
    </row>
    <row r="541" ht="15.75" customHeight="1">
      <c r="B541" s="14"/>
      <c r="C541" s="14"/>
    </row>
    <row r="542" ht="15.75" customHeight="1">
      <c r="B542" s="14"/>
      <c r="C542" s="14"/>
    </row>
    <row r="543" ht="15.75" customHeight="1">
      <c r="B543" s="14"/>
      <c r="C543" s="14"/>
    </row>
    <row r="544" ht="15.75" customHeight="1">
      <c r="B544" s="14"/>
      <c r="C544" s="14"/>
    </row>
    <row r="545" ht="15.75" customHeight="1">
      <c r="B545" s="14"/>
      <c r="C545" s="14"/>
    </row>
    <row r="546" ht="15.75" customHeight="1">
      <c r="B546" s="14"/>
      <c r="C546" s="14"/>
    </row>
    <row r="547" ht="15.75" customHeight="1">
      <c r="B547" s="14"/>
      <c r="C547" s="14"/>
    </row>
    <row r="548" ht="15.75" customHeight="1">
      <c r="B548" s="14"/>
      <c r="C548" s="14"/>
    </row>
    <row r="549" ht="15.75" customHeight="1">
      <c r="B549" s="14"/>
      <c r="C549" s="14"/>
    </row>
    <row r="550" ht="15.75" customHeight="1">
      <c r="B550" s="14"/>
      <c r="C550" s="14"/>
    </row>
    <row r="551" ht="15.75" customHeight="1">
      <c r="B551" s="14"/>
      <c r="C551" s="14"/>
    </row>
    <row r="552" ht="15.75" customHeight="1">
      <c r="B552" s="14"/>
      <c r="C552" s="14"/>
    </row>
    <row r="553" ht="15.75" customHeight="1">
      <c r="B553" s="14"/>
      <c r="C553" s="14"/>
    </row>
    <row r="554" ht="15.75" customHeight="1">
      <c r="B554" s="14"/>
      <c r="C554" s="14"/>
    </row>
    <row r="555" ht="15.75" customHeight="1">
      <c r="B555" s="14"/>
      <c r="C555" s="14"/>
    </row>
    <row r="556" ht="15.75" customHeight="1">
      <c r="B556" s="14"/>
      <c r="C556" s="14"/>
    </row>
    <row r="557" ht="15.75" customHeight="1">
      <c r="B557" s="14"/>
      <c r="C557" s="14"/>
    </row>
    <row r="558" ht="15.75" customHeight="1">
      <c r="B558" s="14"/>
      <c r="C558" s="14"/>
    </row>
    <row r="559" ht="15.75" customHeight="1">
      <c r="B559" s="14"/>
      <c r="C559" s="14"/>
    </row>
    <row r="560" ht="15.75" customHeight="1">
      <c r="B560" s="14"/>
      <c r="C560" s="14"/>
    </row>
    <row r="561" ht="15.75" customHeight="1">
      <c r="B561" s="14"/>
      <c r="C561" s="14"/>
    </row>
    <row r="562" ht="15.75" customHeight="1">
      <c r="B562" s="14"/>
      <c r="C562" s="14"/>
    </row>
    <row r="563" ht="15.75" customHeight="1">
      <c r="B563" s="14"/>
      <c r="C563" s="14"/>
    </row>
    <row r="564" ht="15.75" customHeight="1">
      <c r="B564" s="14"/>
      <c r="C564" s="14"/>
    </row>
    <row r="565" ht="15.75" customHeight="1">
      <c r="B565" s="14"/>
      <c r="C565" s="14"/>
    </row>
    <row r="566" ht="15.75" customHeight="1">
      <c r="B566" s="14"/>
      <c r="C566" s="14"/>
    </row>
    <row r="567" ht="15.75" customHeight="1">
      <c r="B567" s="14"/>
      <c r="C567" s="14"/>
    </row>
    <row r="568" ht="15.75" customHeight="1">
      <c r="B568" s="14"/>
      <c r="C568" s="14"/>
    </row>
    <row r="569" ht="15.75" customHeight="1">
      <c r="B569" s="14"/>
      <c r="C569" s="14"/>
    </row>
    <row r="570" ht="15.75" customHeight="1">
      <c r="B570" s="14"/>
      <c r="C570" s="14"/>
    </row>
    <row r="571" ht="15.75" customHeight="1">
      <c r="B571" s="14"/>
      <c r="C571" s="14"/>
    </row>
    <row r="572" ht="15.75" customHeight="1">
      <c r="B572" s="14"/>
      <c r="C572" s="14"/>
    </row>
    <row r="573" ht="15.75" customHeight="1">
      <c r="B573" s="14"/>
      <c r="C573" s="14"/>
    </row>
    <row r="574" ht="15.75" customHeight="1">
      <c r="B574" s="14"/>
      <c r="C574" s="14"/>
    </row>
    <row r="575" ht="15.75" customHeight="1">
      <c r="B575" s="14"/>
      <c r="C575" s="14"/>
    </row>
    <row r="576" ht="15.75" customHeight="1">
      <c r="B576" s="14"/>
      <c r="C576" s="14"/>
    </row>
    <row r="577" ht="15.75" customHeight="1">
      <c r="B577" s="14"/>
      <c r="C577" s="14"/>
    </row>
    <row r="578" ht="15.75" customHeight="1">
      <c r="B578" s="14"/>
      <c r="C578" s="14"/>
    </row>
    <row r="579" ht="15.75" customHeight="1">
      <c r="B579" s="14"/>
      <c r="C579" s="14"/>
    </row>
    <row r="580" ht="15.75" customHeight="1">
      <c r="B580" s="14"/>
      <c r="C580" s="14"/>
    </row>
    <row r="581" ht="15.75" customHeight="1">
      <c r="B581" s="14"/>
      <c r="C581" s="14"/>
    </row>
    <row r="582" ht="15.75" customHeight="1">
      <c r="B582" s="14"/>
      <c r="C582" s="14"/>
    </row>
    <row r="583" ht="15.75" customHeight="1">
      <c r="B583" s="14"/>
      <c r="C583" s="14"/>
    </row>
    <row r="584" ht="15.75" customHeight="1">
      <c r="B584" s="14"/>
      <c r="C584" s="14"/>
    </row>
    <row r="585" ht="15.75" customHeight="1">
      <c r="B585" s="14"/>
      <c r="C585" s="14"/>
    </row>
    <row r="586" ht="15.75" customHeight="1">
      <c r="B586" s="14"/>
      <c r="C586" s="14"/>
    </row>
    <row r="587" ht="15.75" customHeight="1">
      <c r="B587" s="14"/>
      <c r="C587" s="14"/>
    </row>
    <row r="588" ht="15.75" customHeight="1">
      <c r="B588" s="14"/>
      <c r="C588" s="14"/>
    </row>
    <row r="589" ht="15.75" customHeight="1">
      <c r="B589" s="14"/>
      <c r="C589" s="14"/>
    </row>
    <row r="590" ht="15.75" customHeight="1">
      <c r="B590" s="14"/>
      <c r="C590" s="14"/>
    </row>
    <row r="591" ht="15.75" customHeight="1">
      <c r="B591" s="14"/>
      <c r="C591" s="14"/>
    </row>
    <row r="592" ht="15.75" customHeight="1">
      <c r="B592" s="14"/>
      <c r="C592" s="14"/>
    </row>
    <row r="593" ht="15.75" customHeight="1">
      <c r="B593" s="14"/>
      <c r="C593" s="14"/>
    </row>
    <row r="594" ht="15.75" customHeight="1">
      <c r="B594" s="14"/>
      <c r="C594" s="14"/>
    </row>
    <row r="595" ht="15.75" customHeight="1">
      <c r="B595" s="14"/>
      <c r="C595" s="14"/>
    </row>
    <row r="596" ht="15.75" customHeight="1">
      <c r="B596" s="14"/>
      <c r="C596" s="14"/>
    </row>
    <row r="597" ht="15.75" customHeight="1">
      <c r="B597" s="14"/>
      <c r="C597" s="14"/>
    </row>
    <row r="598" ht="15.75" customHeight="1">
      <c r="B598" s="14"/>
      <c r="C598" s="14"/>
    </row>
    <row r="599" ht="15.75" customHeight="1">
      <c r="B599" s="14"/>
      <c r="C599" s="14"/>
    </row>
    <row r="600" ht="15.75" customHeight="1">
      <c r="B600" s="14"/>
      <c r="C600" s="14"/>
    </row>
    <row r="601" ht="15.75" customHeight="1">
      <c r="B601" s="14"/>
      <c r="C601" s="14"/>
    </row>
    <row r="602" ht="15.75" customHeight="1">
      <c r="B602" s="14"/>
      <c r="C602" s="14"/>
    </row>
    <row r="603" ht="15.75" customHeight="1">
      <c r="B603" s="14"/>
      <c r="C603" s="14"/>
    </row>
    <row r="604" ht="15.75" customHeight="1">
      <c r="B604" s="14"/>
      <c r="C604" s="14"/>
    </row>
    <row r="605" ht="15.75" customHeight="1">
      <c r="B605" s="14"/>
      <c r="C605" s="14"/>
    </row>
    <row r="606" ht="15.75" customHeight="1">
      <c r="B606" s="14"/>
      <c r="C606" s="14"/>
    </row>
    <row r="607" ht="15.75" customHeight="1">
      <c r="B607" s="14"/>
      <c r="C607" s="14"/>
    </row>
    <row r="608" ht="15.75" customHeight="1">
      <c r="B608" s="14"/>
      <c r="C608" s="14"/>
    </row>
    <row r="609" ht="15.75" customHeight="1">
      <c r="B609" s="14"/>
      <c r="C609" s="14"/>
    </row>
    <row r="610" ht="15.75" customHeight="1">
      <c r="B610" s="14"/>
      <c r="C610" s="14"/>
    </row>
    <row r="611" ht="15.75" customHeight="1">
      <c r="B611" s="14"/>
      <c r="C611" s="14"/>
    </row>
    <row r="612" ht="15.75" customHeight="1">
      <c r="B612" s="14"/>
      <c r="C612" s="14"/>
    </row>
    <row r="613" ht="15.75" customHeight="1">
      <c r="B613" s="14"/>
      <c r="C613" s="14"/>
    </row>
    <row r="614" ht="15.75" customHeight="1">
      <c r="B614" s="14"/>
      <c r="C614" s="14"/>
    </row>
    <row r="615" ht="15.75" customHeight="1">
      <c r="B615" s="14"/>
      <c r="C615" s="14"/>
    </row>
    <row r="616" ht="15.75" customHeight="1">
      <c r="B616" s="14"/>
      <c r="C616" s="14"/>
    </row>
    <row r="617" ht="15.75" customHeight="1">
      <c r="B617" s="14"/>
      <c r="C617" s="14"/>
    </row>
    <row r="618" ht="15.75" customHeight="1">
      <c r="B618" s="14"/>
      <c r="C618" s="14"/>
    </row>
    <row r="619" ht="15.75" customHeight="1">
      <c r="B619" s="14"/>
      <c r="C619" s="14"/>
    </row>
    <row r="620" ht="15.75" customHeight="1">
      <c r="B620" s="14"/>
      <c r="C620" s="14"/>
    </row>
    <row r="621" ht="15.75" customHeight="1">
      <c r="B621" s="14"/>
      <c r="C621" s="14"/>
    </row>
    <row r="622" ht="15.75" customHeight="1">
      <c r="B622" s="14"/>
      <c r="C622" s="14"/>
    </row>
    <row r="623" ht="15.75" customHeight="1">
      <c r="B623" s="14"/>
      <c r="C623" s="14"/>
    </row>
    <row r="624" ht="15.75" customHeight="1">
      <c r="B624" s="14"/>
      <c r="C624" s="14"/>
    </row>
    <row r="625" ht="15.75" customHeight="1">
      <c r="B625" s="14"/>
      <c r="C625" s="14"/>
    </row>
    <row r="626" ht="15.75" customHeight="1">
      <c r="B626" s="14"/>
      <c r="C626" s="14"/>
    </row>
    <row r="627" ht="15.75" customHeight="1">
      <c r="B627" s="14"/>
      <c r="C627" s="14"/>
    </row>
    <row r="628" ht="15.75" customHeight="1">
      <c r="B628" s="14"/>
      <c r="C628" s="14"/>
    </row>
    <row r="629" ht="15.75" customHeight="1">
      <c r="B629" s="14"/>
      <c r="C629" s="14"/>
    </row>
    <row r="630" ht="15.75" customHeight="1">
      <c r="B630" s="14"/>
      <c r="C630" s="14"/>
    </row>
    <row r="631" ht="15.75" customHeight="1">
      <c r="B631" s="14"/>
      <c r="C631" s="14"/>
    </row>
    <row r="632" ht="15.75" customHeight="1">
      <c r="B632" s="14"/>
      <c r="C632" s="14"/>
    </row>
    <row r="633" ht="15.75" customHeight="1">
      <c r="B633" s="14"/>
      <c r="C633" s="14"/>
    </row>
    <row r="634" ht="15.75" customHeight="1">
      <c r="B634" s="14"/>
      <c r="C634" s="14"/>
    </row>
    <row r="635" ht="15.75" customHeight="1">
      <c r="B635" s="14"/>
      <c r="C635" s="14"/>
    </row>
    <row r="636" ht="15.75" customHeight="1">
      <c r="B636" s="14"/>
      <c r="C636" s="14"/>
    </row>
    <row r="637" ht="15.75" customHeight="1">
      <c r="B637" s="14"/>
      <c r="C637" s="14"/>
    </row>
    <row r="638" ht="15.75" customHeight="1">
      <c r="B638" s="14"/>
      <c r="C638" s="14"/>
    </row>
    <row r="639" ht="15.75" customHeight="1">
      <c r="B639" s="14"/>
      <c r="C639" s="14"/>
    </row>
    <row r="640" ht="15.75" customHeight="1">
      <c r="B640" s="14"/>
      <c r="C640" s="14"/>
    </row>
    <row r="641" ht="15.75" customHeight="1">
      <c r="B641" s="14"/>
      <c r="C641" s="14"/>
    </row>
    <row r="642" ht="15.75" customHeight="1">
      <c r="B642" s="14"/>
      <c r="C642" s="14"/>
    </row>
    <row r="643" ht="15.75" customHeight="1">
      <c r="B643" s="14"/>
      <c r="C643" s="14"/>
    </row>
    <row r="644" ht="15.75" customHeight="1">
      <c r="B644" s="14"/>
      <c r="C644" s="14"/>
    </row>
    <row r="645" ht="15.75" customHeight="1">
      <c r="B645" s="14"/>
      <c r="C645" s="14"/>
    </row>
    <row r="646" ht="15.75" customHeight="1">
      <c r="B646" s="14"/>
      <c r="C646" s="14"/>
    </row>
    <row r="647" ht="15.75" customHeight="1">
      <c r="B647" s="14"/>
      <c r="C647" s="14"/>
    </row>
    <row r="648" ht="15.75" customHeight="1">
      <c r="B648" s="14"/>
      <c r="C648" s="14"/>
    </row>
    <row r="649" ht="15.75" customHeight="1">
      <c r="B649" s="14"/>
      <c r="C649" s="14"/>
    </row>
    <row r="650" ht="15.75" customHeight="1">
      <c r="B650" s="14"/>
      <c r="C650" s="14"/>
    </row>
    <row r="651" ht="15.75" customHeight="1">
      <c r="B651" s="14"/>
      <c r="C651" s="14"/>
    </row>
    <row r="652" ht="15.75" customHeight="1">
      <c r="B652" s="14"/>
      <c r="C652" s="14"/>
    </row>
    <row r="653" ht="15.75" customHeight="1">
      <c r="B653" s="14"/>
      <c r="C653" s="14"/>
    </row>
    <row r="654" ht="15.75" customHeight="1">
      <c r="B654" s="14"/>
      <c r="C654" s="14"/>
    </row>
    <row r="655" ht="15.75" customHeight="1">
      <c r="B655" s="14"/>
      <c r="C655" s="14"/>
    </row>
    <row r="656" ht="15.75" customHeight="1">
      <c r="B656" s="14"/>
      <c r="C656" s="14"/>
    </row>
    <row r="657" ht="15.75" customHeight="1">
      <c r="B657" s="14"/>
      <c r="C657" s="14"/>
    </row>
    <row r="658" ht="15.75" customHeight="1">
      <c r="B658" s="14"/>
      <c r="C658" s="14"/>
    </row>
    <row r="659" ht="15.75" customHeight="1">
      <c r="B659" s="14"/>
      <c r="C659" s="14"/>
    </row>
    <row r="660" ht="15.75" customHeight="1">
      <c r="B660" s="14"/>
      <c r="C660" s="14"/>
    </row>
    <row r="661" ht="15.75" customHeight="1">
      <c r="B661" s="14"/>
      <c r="C661" s="14"/>
    </row>
    <row r="662" ht="15.75" customHeight="1">
      <c r="B662" s="14"/>
      <c r="C662" s="14"/>
    </row>
    <row r="663" ht="15.75" customHeight="1">
      <c r="B663" s="14"/>
      <c r="C663" s="14"/>
    </row>
    <row r="664" ht="15.75" customHeight="1">
      <c r="B664" s="14"/>
      <c r="C664" s="14"/>
    </row>
    <row r="665" ht="15.75" customHeight="1">
      <c r="B665" s="14"/>
      <c r="C665" s="14"/>
    </row>
    <row r="666" ht="15.75" customHeight="1">
      <c r="B666" s="14"/>
      <c r="C666" s="14"/>
    </row>
    <row r="667" ht="15.75" customHeight="1">
      <c r="B667" s="14"/>
      <c r="C667" s="14"/>
    </row>
    <row r="668" ht="15.75" customHeight="1">
      <c r="B668" s="14"/>
      <c r="C668" s="14"/>
    </row>
    <row r="669" ht="15.75" customHeight="1">
      <c r="B669" s="14"/>
      <c r="C669" s="14"/>
    </row>
    <row r="670" ht="15.75" customHeight="1">
      <c r="B670" s="14"/>
      <c r="C670" s="14"/>
    </row>
    <row r="671" ht="15.75" customHeight="1">
      <c r="B671" s="14"/>
      <c r="C671" s="14"/>
    </row>
    <row r="672" ht="15.75" customHeight="1">
      <c r="B672" s="14"/>
      <c r="C672" s="14"/>
    </row>
    <row r="673" ht="15.75" customHeight="1">
      <c r="B673" s="14"/>
      <c r="C673" s="14"/>
    </row>
    <row r="674" ht="15.75" customHeight="1">
      <c r="B674" s="14"/>
      <c r="C674" s="14"/>
    </row>
    <row r="675" ht="15.75" customHeight="1">
      <c r="B675" s="14"/>
      <c r="C675" s="14"/>
    </row>
    <row r="676" ht="15.75" customHeight="1">
      <c r="B676" s="14"/>
      <c r="C676" s="14"/>
    </row>
    <row r="677" ht="15.75" customHeight="1">
      <c r="B677" s="14"/>
      <c r="C677" s="14"/>
    </row>
    <row r="678" ht="15.75" customHeight="1">
      <c r="B678" s="14"/>
      <c r="C678" s="14"/>
    </row>
    <row r="679" ht="15.75" customHeight="1">
      <c r="B679" s="14"/>
      <c r="C679" s="14"/>
    </row>
    <row r="680" ht="15.75" customHeight="1">
      <c r="B680" s="14"/>
      <c r="C680" s="14"/>
    </row>
    <row r="681" ht="15.75" customHeight="1">
      <c r="B681" s="14"/>
      <c r="C681" s="14"/>
    </row>
    <row r="682" ht="15.75" customHeight="1">
      <c r="B682" s="14"/>
      <c r="C682" s="14"/>
    </row>
    <row r="683" ht="15.75" customHeight="1">
      <c r="B683" s="14"/>
      <c r="C683" s="14"/>
    </row>
    <row r="684" ht="15.75" customHeight="1">
      <c r="B684" s="14"/>
      <c r="C684" s="14"/>
    </row>
    <row r="685" ht="15.75" customHeight="1">
      <c r="B685" s="14"/>
      <c r="C685" s="14"/>
    </row>
    <row r="686" ht="15.75" customHeight="1">
      <c r="B686" s="14"/>
      <c r="C686" s="14"/>
    </row>
    <row r="687" ht="15.75" customHeight="1">
      <c r="B687" s="14"/>
      <c r="C687" s="14"/>
    </row>
    <row r="688" ht="15.75" customHeight="1">
      <c r="B688" s="14"/>
      <c r="C688" s="14"/>
    </row>
    <row r="689" ht="15.75" customHeight="1">
      <c r="B689" s="14"/>
      <c r="C689" s="14"/>
    </row>
    <row r="690" ht="15.75" customHeight="1">
      <c r="B690" s="14"/>
      <c r="C690" s="14"/>
    </row>
    <row r="691" ht="15.75" customHeight="1">
      <c r="B691" s="14"/>
      <c r="C691" s="14"/>
    </row>
    <row r="692" ht="15.75" customHeight="1">
      <c r="B692" s="14"/>
      <c r="C692" s="14"/>
    </row>
    <row r="693" ht="15.75" customHeight="1">
      <c r="B693" s="14"/>
      <c r="C693" s="14"/>
    </row>
    <row r="694" ht="15.75" customHeight="1">
      <c r="B694" s="14"/>
      <c r="C694" s="14"/>
    </row>
    <row r="695" ht="15.75" customHeight="1">
      <c r="B695" s="14"/>
      <c r="C695" s="14"/>
    </row>
    <row r="696" ht="15.75" customHeight="1">
      <c r="B696" s="14"/>
      <c r="C696" s="14"/>
    </row>
    <row r="697" ht="15.75" customHeight="1">
      <c r="B697" s="14"/>
      <c r="C697" s="14"/>
    </row>
    <row r="698" ht="15.75" customHeight="1">
      <c r="B698" s="14"/>
      <c r="C698" s="14"/>
    </row>
    <row r="699" ht="15.75" customHeight="1">
      <c r="B699" s="14"/>
      <c r="C699" s="14"/>
    </row>
    <row r="700" ht="15.75" customHeight="1">
      <c r="B700" s="14"/>
      <c r="C700" s="14"/>
    </row>
    <row r="701" ht="15.75" customHeight="1">
      <c r="B701" s="14"/>
      <c r="C701" s="14"/>
    </row>
    <row r="702" ht="15.75" customHeight="1">
      <c r="B702" s="14"/>
      <c r="C702" s="14"/>
    </row>
    <row r="703" ht="15.75" customHeight="1">
      <c r="B703" s="14"/>
      <c r="C703" s="14"/>
    </row>
    <row r="704" ht="15.75" customHeight="1">
      <c r="B704" s="14"/>
      <c r="C704" s="14"/>
    </row>
    <row r="705" ht="15.75" customHeight="1">
      <c r="B705" s="14"/>
      <c r="C705" s="14"/>
    </row>
    <row r="706" ht="15.75" customHeight="1">
      <c r="B706" s="14"/>
      <c r="C706" s="14"/>
    </row>
    <row r="707" ht="15.75" customHeight="1">
      <c r="B707" s="14"/>
      <c r="C707" s="14"/>
    </row>
    <row r="708" ht="15.75" customHeight="1">
      <c r="B708" s="14"/>
      <c r="C708" s="14"/>
    </row>
    <row r="709" ht="15.75" customHeight="1">
      <c r="B709" s="14"/>
      <c r="C709" s="14"/>
    </row>
    <row r="710" ht="15.75" customHeight="1">
      <c r="B710" s="14"/>
      <c r="C710" s="14"/>
    </row>
    <row r="711" ht="15.75" customHeight="1">
      <c r="B711" s="14"/>
      <c r="C711" s="14"/>
    </row>
    <row r="712" ht="15.75" customHeight="1">
      <c r="B712" s="14"/>
      <c r="C712" s="14"/>
    </row>
    <row r="713" ht="15.75" customHeight="1">
      <c r="B713" s="14"/>
      <c r="C713" s="14"/>
    </row>
    <row r="714" ht="15.75" customHeight="1">
      <c r="B714" s="14"/>
      <c r="C714" s="14"/>
    </row>
    <row r="715" ht="15.75" customHeight="1">
      <c r="B715" s="14"/>
      <c r="C715" s="14"/>
    </row>
    <row r="716" ht="15.75" customHeight="1">
      <c r="B716" s="14"/>
      <c r="C716" s="14"/>
    </row>
    <row r="717" ht="15.75" customHeight="1">
      <c r="B717" s="14"/>
      <c r="C717" s="14"/>
    </row>
    <row r="718" ht="15.75" customHeight="1">
      <c r="B718" s="14"/>
      <c r="C718" s="14"/>
    </row>
    <row r="719" ht="15.75" customHeight="1">
      <c r="B719" s="14"/>
      <c r="C719" s="14"/>
    </row>
    <row r="720" ht="15.75" customHeight="1">
      <c r="B720" s="14"/>
      <c r="C720" s="14"/>
    </row>
    <row r="721" ht="15.75" customHeight="1">
      <c r="B721" s="14"/>
      <c r="C721" s="14"/>
    </row>
    <row r="722" ht="15.75" customHeight="1">
      <c r="B722" s="14"/>
      <c r="C722" s="14"/>
    </row>
    <row r="723" ht="15.75" customHeight="1">
      <c r="B723" s="14"/>
      <c r="C723" s="14"/>
    </row>
    <row r="724" ht="15.75" customHeight="1">
      <c r="B724" s="14"/>
      <c r="C724" s="14"/>
    </row>
    <row r="725" ht="15.75" customHeight="1">
      <c r="B725" s="14"/>
      <c r="C725" s="14"/>
    </row>
    <row r="726" ht="15.75" customHeight="1">
      <c r="B726" s="14"/>
      <c r="C726" s="14"/>
    </row>
    <row r="727" ht="15.75" customHeight="1">
      <c r="B727" s="14"/>
      <c r="C727" s="14"/>
    </row>
    <row r="728" ht="15.75" customHeight="1">
      <c r="B728" s="14"/>
      <c r="C728" s="14"/>
    </row>
    <row r="729" ht="15.75" customHeight="1">
      <c r="B729" s="14"/>
      <c r="C729" s="14"/>
    </row>
    <row r="730" ht="15.75" customHeight="1">
      <c r="B730" s="14"/>
      <c r="C730" s="14"/>
    </row>
    <row r="731" ht="15.75" customHeight="1">
      <c r="B731" s="14"/>
      <c r="C731" s="14"/>
    </row>
    <row r="732" ht="15.75" customHeight="1">
      <c r="B732" s="14"/>
      <c r="C732" s="14"/>
    </row>
    <row r="733" ht="15.75" customHeight="1">
      <c r="B733" s="14"/>
      <c r="C733" s="14"/>
    </row>
    <row r="734" ht="15.75" customHeight="1">
      <c r="B734" s="14"/>
      <c r="C734" s="14"/>
    </row>
    <row r="735" ht="15.75" customHeight="1">
      <c r="B735" s="14"/>
      <c r="C735" s="14"/>
    </row>
    <row r="736" ht="15.75" customHeight="1">
      <c r="B736" s="14"/>
      <c r="C736" s="14"/>
    </row>
    <row r="737" ht="15.75" customHeight="1">
      <c r="B737" s="14"/>
      <c r="C737" s="14"/>
    </row>
    <row r="738" ht="15.75" customHeight="1">
      <c r="B738" s="14"/>
      <c r="C738" s="14"/>
    </row>
    <row r="739" ht="15.75" customHeight="1">
      <c r="B739" s="14"/>
      <c r="C739" s="14"/>
    </row>
    <row r="740" ht="15.75" customHeight="1">
      <c r="B740" s="14"/>
      <c r="C740" s="14"/>
    </row>
    <row r="741" ht="15.75" customHeight="1">
      <c r="B741" s="14"/>
      <c r="C741" s="14"/>
    </row>
    <row r="742" ht="15.75" customHeight="1">
      <c r="B742" s="14"/>
      <c r="C742" s="14"/>
    </row>
    <row r="743" ht="15.75" customHeight="1">
      <c r="B743" s="14"/>
      <c r="C743" s="14"/>
    </row>
    <row r="744" ht="15.75" customHeight="1">
      <c r="B744" s="14"/>
      <c r="C744" s="14"/>
    </row>
    <row r="745" ht="15.75" customHeight="1">
      <c r="B745" s="14"/>
      <c r="C745" s="14"/>
    </row>
    <row r="746" ht="15.75" customHeight="1">
      <c r="B746" s="14"/>
      <c r="C746" s="14"/>
    </row>
    <row r="747" ht="15.75" customHeight="1">
      <c r="B747" s="14"/>
      <c r="C747" s="14"/>
    </row>
    <row r="748" ht="15.75" customHeight="1">
      <c r="B748" s="14"/>
      <c r="C748" s="14"/>
    </row>
    <row r="749" ht="15.75" customHeight="1">
      <c r="B749" s="14"/>
      <c r="C749" s="14"/>
    </row>
    <row r="750" ht="15.75" customHeight="1">
      <c r="B750" s="14"/>
      <c r="C750" s="14"/>
    </row>
    <row r="751" ht="15.75" customHeight="1">
      <c r="B751" s="14"/>
      <c r="C751" s="14"/>
    </row>
    <row r="752" ht="15.75" customHeight="1">
      <c r="B752" s="14"/>
      <c r="C752" s="14"/>
    </row>
    <row r="753" ht="15.75" customHeight="1">
      <c r="B753" s="14"/>
      <c r="C753" s="14"/>
    </row>
    <row r="754" ht="15.75" customHeight="1">
      <c r="B754" s="14"/>
      <c r="C754" s="14"/>
    </row>
    <row r="755" ht="15.75" customHeight="1">
      <c r="B755" s="14"/>
      <c r="C755" s="14"/>
    </row>
    <row r="756" ht="15.75" customHeight="1">
      <c r="B756" s="14"/>
      <c r="C756" s="14"/>
    </row>
    <row r="757" ht="15.75" customHeight="1">
      <c r="B757" s="14"/>
      <c r="C757" s="14"/>
    </row>
    <row r="758" ht="15.75" customHeight="1">
      <c r="B758" s="14"/>
      <c r="C758" s="14"/>
    </row>
    <row r="759" ht="15.75" customHeight="1">
      <c r="B759" s="14"/>
      <c r="C759" s="14"/>
    </row>
    <row r="760" ht="15.75" customHeight="1">
      <c r="B760" s="14"/>
      <c r="C760" s="14"/>
    </row>
    <row r="761" ht="15.75" customHeight="1">
      <c r="B761" s="14"/>
      <c r="C761" s="14"/>
    </row>
    <row r="762" ht="15.75" customHeight="1">
      <c r="B762" s="14"/>
      <c r="C762" s="14"/>
    </row>
    <row r="763" ht="15.75" customHeight="1">
      <c r="B763" s="14"/>
      <c r="C763" s="14"/>
    </row>
    <row r="764" ht="15.75" customHeight="1">
      <c r="B764" s="14"/>
      <c r="C764" s="14"/>
    </row>
    <row r="765" ht="15.75" customHeight="1">
      <c r="B765" s="14"/>
      <c r="C765" s="14"/>
    </row>
    <row r="766" ht="15.75" customHeight="1">
      <c r="B766" s="14"/>
      <c r="C766" s="14"/>
    </row>
    <row r="767" ht="15.75" customHeight="1">
      <c r="B767" s="14"/>
      <c r="C767" s="14"/>
    </row>
    <row r="768" ht="15.75" customHeight="1">
      <c r="B768" s="14"/>
      <c r="C768" s="14"/>
    </row>
    <row r="769" ht="15.75" customHeight="1">
      <c r="B769" s="14"/>
      <c r="C769" s="14"/>
    </row>
    <row r="770" ht="15.75" customHeight="1">
      <c r="B770" s="14"/>
      <c r="C770" s="14"/>
    </row>
    <row r="771" ht="15.75" customHeight="1">
      <c r="B771" s="14"/>
      <c r="C771" s="14"/>
    </row>
    <row r="772" ht="15.75" customHeight="1">
      <c r="B772" s="14"/>
      <c r="C772" s="14"/>
    </row>
    <row r="773" ht="15.75" customHeight="1">
      <c r="B773" s="14"/>
      <c r="C773" s="14"/>
    </row>
    <row r="774" ht="15.75" customHeight="1">
      <c r="B774" s="14"/>
      <c r="C774" s="14"/>
    </row>
    <row r="775" ht="15.75" customHeight="1">
      <c r="B775" s="14"/>
      <c r="C775" s="14"/>
    </row>
    <row r="776" ht="15.75" customHeight="1">
      <c r="B776" s="14"/>
      <c r="C776" s="14"/>
    </row>
    <row r="777" ht="15.75" customHeight="1">
      <c r="B777" s="14"/>
      <c r="C777" s="14"/>
    </row>
    <row r="778" ht="15.75" customHeight="1">
      <c r="B778" s="14"/>
      <c r="C778" s="14"/>
    </row>
    <row r="779" ht="15.75" customHeight="1">
      <c r="B779" s="14"/>
      <c r="C779" s="14"/>
    </row>
    <row r="780" ht="15.75" customHeight="1">
      <c r="B780" s="14"/>
      <c r="C780" s="14"/>
    </row>
    <row r="781" ht="15.75" customHeight="1">
      <c r="B781" s="14"/>
      <c r="C781" s="14"/>
    </row>
    <row r="782" ht="15.75" customHeight="1">
      <c r="B782" s="14"/>
      <c r="C782" s="14"/>
    </row>
    <row r="783" ht="15.75" customHeight="1">
      <c r="B783" s="14"/>
      <c r="C783" s="14"/>
    </row>
    <row r="784" ht="15.75" customHeight="1">
      <c r="B784" s="14"/>
      <c r="C784" s="14"/>
    </row>
    <row r="785" ht="15.75" customHeight="1">
      <c r="B785" s="14"/>
      <c r="C785" s="14"/>
    </row>
    <row r="786" ht="15.75" customHeight="1">
      <c r="B786" s="14"/>
      <c r="C786" s="14"/>
    </row>
    <row r="787" ht="15.75" customHeight="1">
      <c r="B787" s="14"/>
      <c r="C787" s="14"/>
    </row>
    <row r="788" ht="15.75" customHeight="1">
      <c r="B788" s="14"/>
      <c r="C788" s="14"/>
    </row>
    <row r="789" ht="15.75" customHeight="1">
      <c r="B789" s="14"/>
      <c r="C789" s="14"/>
    </row>
    <row r="790" ht="15.75" customHeight="1">
      <c r="B790" s="14"/>
      <c r="C790" s="14"/>
    </row>
    <row r="791" ht="15.75" customHeight="1">
      <c r="B791" s="14"/>
      <c r="C791" s="14"/>
    </row>
    <row r="792" ht="15.75" customHeight="1">
      <c r="B792" s="14"/>
      <c r="C792" s="14"/>
    </row>
    <row r="793" ht="15.75" customHeight="1">
      <c r="B793" s="14"/>
      <c r="C793" s="14"/>
    </row>
    <row r="794" ht="15.75" customHeight="1">
      <c r="B794" s="14"/>
      <c r="C794" s="14"/>
    </row>
    <row r="795" ht="15.75" customHeight="1">
      <c r="B795" s="14"/>
      <c r="C795" s="14"/>
    </row>
    <row r="796" ht="15.75" customHeight="1">
      <c r="B796" s="14"/>
      <c r="C796" s="14"/>
    </row>
    <row r="797" ht="15.75" customHeight="1">
      <c r="B797" s="14"/>
      <c r="C797" s="14"/>
    </row>
    <row r="798" ht="15.75" customHeight="1">
      <c r="B798" s="14"/>
      <c r="C798" s="14"/>
    </row>
    <row r="799" ht="15.75" customHeight="1">
      <c r="B799" s="14"/>
      <c r="C799" s="14"/>
    </row>
    <row r="800" ht="15.75" customHeight="1">
      <c r="B800" s="14"/>
      <c r="C800" s="14"/>
    </row>
    <row r="801" ht="15.75" customHeight="1">
      <c r="B801" s="14"/>
      <c r="C801" s="14"/>
    </row>
    <row r="802" ht="15.75" customHeight="1">
      <c r="B802" s="14"/>
      <c r="C802" s="14"/>
    </row>
    <row r="803" ht="15.75" customHeight="1">
      <c r="B803" s="14"/>
      <c r="C803" s="14"/>
    </row>
    <row r="804" ht="15.75" customHeight="1">
      <c r="B804" s="14"/>
      <c r="C804" s="14"/>
    </row>
    <row r="805" ht="15.75" customHeight="1">
      <c r="B805" s="14"/>
      <c r="C805" s="14"/>
    </row>
    <row r="806" ht="15.75" customHeight="1">
      <c r="B806" s="14"/>
      <c r="C806" s="14"/>
    </row>
    <row r="807" ht="15.75" customHeight="1">
      <c r="B807" s="14"/>
      <c r="C807" s="14"/>
    </row>
    <row r="808" ht="15.75" customHeight="1">
      <c r="B808" s="14"/>
      <c r="C808" s="14"/>
    </row>
    <row r="809" ht="15.75" customHeight="1">
      <c r="B809" s="14"/>
      <c r="C809" s="14"/>
    </row>
    <row r="810" ht="15.75" customHeight="1">
      <c r="B810" s="14"/>
      <c r="C810" s="14"/>
    </row>
    <row r="811" ht="15.75" customHeight="1">
      <c r="B811" s="14"/>
      <c r="C811" s="14"/>
    </row>
    <row r="812" ht="15.75" customHeight="1">
      <c r="B812" s="14"/>
      <c r="C812" s="14"/>
    </row>
    <row r="813" ht="15.75" customHeight="1">
      <c r="B813" s="14"/>
      <c r="C813" s="14"/>
    </row>
    <row r="814" ht="15.75" customHeight="1">
      <c r="B814" s="14"/>
      <c r="C814" s="14"/>
    </row>
    <row r="815" ht="15.75" customHeight="1">
      <c r="B815" s="14"/>
      <c r="C815" s="14"/>
    </row>
    <row r="816" ht="15.75" customHeight="1">
      <c r="B816" s="14"/>
      <c r="C816" s="14"/>
    </row>
    <row r="817" ht="15.75" customHeight="1">
      <c r="B817" s="14"/>
      <c r="C817" s="14"/>
    </row>
    <row r="818" ht="15.75" customHeight="1">
      <c r="B818" s="14"/>
      <c r="C818" s="14"/>
    </row>
    <row r="819" ht="15.75" customHeight="1">
      <c r="B819" s="14"/>
      <c r="C819" s="14"/>
    </row>
    <row r="820" ht="15.75" customHeight="1">
      <c r="B820" s="14"/>
      <c r="C820" s="14"/>
    </row>
    <row r="821" ht="15.75" customHeight="1">
      <c r="B821" s="14"/>
      <c r="C821" s="14"/>
    </row>
    <row r="822" ht="15.75" customHeight="1">
      <c r="B822" s="14"/>
      <c r="C822" s="14"/>
    </row>
    <row r="823" ht="15.75" customHeight="1">
      <c r="B823" s="14"/>
      <c r="C823" s="14"/>
    </row>
    <row r="824" ht="15.75" customHeight="1">
      <c r="B824" s="14"/>
      <c r="C824" s="14"/>
    </row>
    <row r="825" ht="15.75" customHeight="1">
      <c r="B825" s="14"/>
      <c r="C825" s="14"/>
    </row>
    <row r="826" ht="15.75" customHeight="1">
      <c r="B826" s="14"/>
      <c r="C826" s="14"/>
    </row>
    <row r="827" ht="15.75" customHeight="1">
      <c r="B827" s="14"/>
      <c r="C827" s="14"/>
    </row>
    <row r="828" ht="15.75" customHeight="1">
      <c r="B828" s="14"/>
      <c r="C828" s="14"/>
    </row>
    <row r="829" ht="15.75" customHeight="1">
      <c r="B829" s="14"/>
      <c r="C829" s="14"/>
    </row>
    <row r="830" ht="15.75" customHeight="1">
      <c r="B830" s="14"/>
      <c r="C830" s="14"/>
    </row>
    <row r="831" ht="15.75" customHeight="1">
      <c r="B831" s="14"/>
      <c r="C831" s="14"/>
    </row>
    <row r="832" ht="15.75" customHeight="1">
      <c r="B832" s="14"/>
      <c r="C832" s="14"/>
    </row>
    <row r="833" ht="15.75" customHeight="1">
      <c r="B833" s="14"/>
      <c r="C833" s="14"/>
    </row>
    <row r="834" ht="15.75" customHeight="1">
      <c r="B834" s="14"/>
      <c r="C834" s="14"/>
    </row>
    <row r="835" ht="15.75" customHeight="1">
      <c r="B835" s="14"/>
      <c r="C835" s="14"/>
    </row>
    <row r="836" ht="15.75" customHeight="1">
      <c r="B836" s="14"/>
      <c r="C836" s="14"/>
    </row>
    <row r="837" ht="15.75" customHeight="1">
      <c r="B837" s="14"/>
      <c r="C837" s="14"/>
    </row>
    <row r="838" ht="15.75" customHeight="1">
      <c r="B838" s="14"/>
      <c r="C838" s="14"/>
    </row>
    <row r="839" ht="15.75" customHeight="1">
      <c r="B839" s="14"/>
      <c r="C839" s="14"/>
    </row>
    <row r="840" ht="15.75" customHeight="1">
      <c r="B840" s="14"/>
      <c r="C840" s="14"/>
    </row>
    <row r="841" ht="15.75" customHeight="1">
      <c r="B841" s="14"/>
      <c r="C841" s="14"/>
    </row>
    <row r="842" ht="15.75" customHeight="1">
      <c r="B842" s="14"/>
      <c r="C842" s="14"/>
    </row>
    <row r="843" ht="15.75" customHeight="1">
      <c r="B843" s="14"/>
      <c r="C843" s="14"/>
    </row>
    <row r="844" ht="15.75" customHeight="1">
      <c r="B844" s="14"/>
      <c r="C844" s="14"/>
    </row>
    <row r="845" ht="15.75" customHeight="1">
      <c r="B845" s="14"/>
      <c r="C845" s="14"/>
    </row>
    <row r="846" ht="15.75" customHeight="1">
      <c r="B846" s="14"/>
      <c r="C846" s="14"/>
    </row>
    <row r="847" ht="15.75" customHeight="1">
      <c r="B847" s="14"/>
      <c r="C847" s="14"/>
    </row>
    <row r="848" ht="15.75" customHeight="1">
      <c r="B848" s="14"/>
      <c r="C848" s="14"/>
    </row>
    <row r="849" ht="15.75" customHeight="1">
      <c r="B849" s="14"/>
      <c r="C849" s="14"/>
    </row>
    <row r="850" ht="15.75" customHeight="1">
      <c r="B850" s="14"/>
      <c r="C850" s="14"/>
    </row>
    <row r="851" ht="15.75" customHeight="1">
      <c r="B851" s="14"/>
      <c r="C851" s="14"/>
    </row>
    <row r="852" ht="15.75" customHeight="1">
      <c r="B852" s="14"/>
      <c r="C852" s="14"/>
    </row>
    <row r="853" ht="15.75" customHeight="1">
      <c r="B853" s="14"/>
      <c r="C853" s="14"/>
    </row>
    <row r="854" ht="15.75" customHeight="1">
      <c r="B854" s="14"/>
      <c r="C854" s="14"/>
    </row>
    <row r="855" ht="15.75" customHeight="1">
      <c r="B855" s="14"/>
      <c r="C855" s="14"/>
    </row>
    <row r="856" ht="15.75" customHeight="1">
      <c r="B856" s="14"/>
      <c r="C856" s="14"/>
    </row>
    <row r="857" ht="15.75" customHeight="1">
      <c r="B857" s="14"/>
      <c r="C857" s="14"/>
    </row>
    <row r="858" ht="15.75" customHeight="1">
      <c r="B858" s="14"/>
      <c r="C858" s="14"/>
    </row>
    <row r="859" ht="15.75" customHeight="1">
      <c r="B859" s="14"/>
      <c r="C859" s="14"/>
    </row>
    <row r="860" ht="15.75" customHeight="1">
      <c r="B860" s="14"/>
      <c r="C860" s="14"/>
    </row>
    <row r="861" ht="15.75" customHeight="1">
      <c r="B861" s="14"/>
      <c r="C861" s="14"/>
    </row>
    <row r="862" ht="15.75" customHeight="1">
      <c r="B862" s="14"/>
      <c r="C862" s="14"/>
    </row>
    <row r="863" ht="15.75" customHeight="1">
      <c r="B863" s="14"/>
      <c r="C863" s="14"/>
    </row>
    <row r="864" ht="15.75" customHeight="1">
      <c r="B864" s="14"/>
      <c r="C864" s="14"/>
    </row>
    <row r="865" ht="15.75" customHeight="1">
      <c r="B865" s="14"/>
      <c r="C865" s="14"/>
    </row>
    <row r="866" ht="15.75" customHeight="1">
      <c r="B866" s="14"/>
      <c r="C866" s="14"/>
    </row>
    <row r="867" ht="15.75" customHeight="1">
      <c r="B867" s="14"/>
      <c r="C867" s="14"/>
    </row>
    <row r="868" ht="15.75" customHeight="1">
      <c r="B868" s="14"/>
      <c r="C868" s="14"/>
    </row>
    <row r="869" ht="15.75" customHeight="1">
      <c r="B869" s="14"/>
      <c r="C869" s="14"/>
    </row>
    <row r="870" ht="15.75" customHeight="1">
      <c r="B870" s="14"/>
      <c r="C870" s="14"/>
    </row>
    <row r="871" ht="15.75" customHeight="1">
      <c r="B871" s="14"/>
      <c r="C871" s="14"/>
    </row>
    <row r="872" ht="15.75" customHeight="1">
      <c r="B872" s="14"/>
      <c r="C872" s="14"/>
    </row>
    <row r="873" ht="15.75" customHeight="1">
      <c r="B873" s="14"/>
      <c r="C873" s="14"/>
    </row>
    <row r="874" ht="15.75" customHeight="1">
      <c r="B874" s="14"/>
      <c r="C874" s="14"/>
    </row>
    <row r="875" ht="15.75" customHeight="1">
      <c r="B875" s="14"/>
      <c r="C875" s="14"/>
    </row>
    <row r="876" ht="15.75" customHeight="1">
      <c r="B876" s="14"/>
      <c r="C876" s="14"/>
    </row>
    <row r="877" ht="15.75" customHeight="1">
      <c r="B877" s="14"/>
      <c r="C877" s="14"/>
    </row>
    <row r="878" ht="15.75" customHeight="1">
      <c r="B878" s="14"/>
      <c r="C878" s="14"/>
    </row>
    <row r="879" ht="15.75" customHeight="1">
      <c r="B879" s="14"/>
      <c r="C879" s="14"/>
    </row>
    <row r="880" ht="15.75" customHeight="1">
      <c r="B880" s="14"/>
      <c r="C880" s="14"/>
    </row>
    <row r="881" ht="15.75" customHeight="1">
      <c r="B881" s="14"/>
      <c r="C881" s="14"/>
    </row>
    <row r="882" ht="15.75" customHeight="1">
      <c r="B882" s="14"/>
      <c r="C882" s="14"/>
    </row>
    <row r="883" ht="15.75" customHeight="1">
      <c r="B883" s="14"/>
      <c r="C883" s="14"/>
    </row>
    <row r="884" ht="15.75" customHeight="1">
      <c r="B884" s="14"/>
      <c r="C884" s="14"/>
    </row>
    <row r="885" ht="15.75" customHeight="1">
      <c r="B885" s="14"/>
      <c r="C885" s="14"/>
    </row>
    <row r="886" ht="15.75" customHeight="1">
      <c r="B886" s="14"/>
      <c r="C886" s="14"/>
    </row>
    <row r="887" ht="15.75" customHeight="1">
      <c r="B887" s="14"/>
      <c r="C887" s="14"/>
    </row>
    <row r="888" ht="15.75" customHeight="1">
      <c r="B888" s="14"/>
      <c r="C888" s="14"/>
    </row>
    <row r="889" ht="15.75" customHeight="1">
      <c r="B889" s="14"/>
      <c r="C889" s="14"/>
    </row>
    <row r="890" ht="15.75" customHeight="1">
      <c r="B890" s="14"/>
      <c r="C890" s="14"/>
    </row>
    <row r="891" ht="15.75" customHeight="1">
      <c r="B891" s="14"/>
      <c r="C891" s="14"/>
    </row>
    <row r="892" ht="15.75" customHeight="1">
      <c r="B892" s="14"/>
      <c r="C892" s="14"/>
    </row>
    <row r="893" ht="15.75" customHeight="1">
      <c r="B893" s="14"/>
      <c r="C893" s="14"/>
    </row>
    <row r="894" ht="15.75" customHeight="1">
      <c r="B894" s="14"/>
      <c r="C894" s="14"/>
    </row>
    <row r="895" ht="15.75" customHeight="1">
      <c r="B895" s="14"/>
      <c r="C895" s="14"/>
    </row>
    <row r="896" ht="15.75" customHeight="1">
      <c r="B896" s="14"/>
      <c r="C896" s="14"/>
    </row>
    <row r="897" ht="15.75" customHeight="1">
      <c r="B897" s="14"/>
      <c r="C897" s="14"/>
    </row>
    <row r="898" ht="15.75" customHeight="1">
      <c r="B898" s="14"/>
      <c r="C898" s="14"/>
    </row>
    <row r="899" ht="15.75" customHeight="1">
      <c r="B899" s="14"/>
      <c r="C899" s="14"/>
    </row>
    <row r="900" ht="15.75" customHeight="1">
      <c r="B900" s="14"/>
      <c r="C900" s="14"/>
    </row>
    <row r="901" ht="15.75" customHeight="1">
      <c r="B901" s="14"/>
      <c r="C901" s="14"/>
    </row>
    <row r="902" ht="15.75" customHeight="1">
      <c r="B902" s="14"/>
      <c r="C902" s="14"/>
    </row>
    <row r="903" ht="15.75" customHeight="1">
      <c r="B903" s="14"/>
      <c r="C903" s="14"/>
    </row>
    <row r="904" ht="15.75" customHeight="1">
      <c r="B904" s="14"/>
      <c r="C904" s="14"/>
    </row>
    <row r="905" ht="15.75" customHeight="1">
      <c r="B905" s="14"/>
      <c r="C905" s="14"/>
    </row>
    <row r="906" ht="15.75" customHeight="1">
      <c r="B906" s="14"/>
      <c r="C906" s="14"/>
    </row>
    <row r="907" ht="15.75" customHeight="1">
      <c r="B907" s="14"/>
      <c r="C907" s="14"/>
    </row>
    <row r="908" ht="15.75" customHeight="1">
      <c r="B908" s="14"/>
      <c r="C908" s="14"/>
    </row>
    <row r="909" ht="15.75" customHeight="1">
      <c r="B909" s="14"/>
      <c r="C909" s="14"/>
    </row>
    <row r="910" ht="15.75" customHeight="1">
      <c r="B910" s="14"/>
      <c r="C910" s="14"/>
    </row>
    <row r="911" ht="15.75" customHeight="1">
      <c r="B911" s="14"/>
      <c r="C911" s="14"/>
    </row>
    <row r="912" ht="15.75" customHeight="1">
      <c r="B912" s="14"/>
      <c r="C912" s="14"/>
    </row>
    <row r="913" ht="15.75" customHeight="1">
      <c r="B913" s="14"/>
      <c r="C913" s="14"/>
    </row>
    <row r="914" ht="15.75" customHeight="1">
      <c r="B914" s="14"/>
      <c r="C914" s="14"/>
    </row>
    <row r="915" ht="15.75" customHeight="1">
      <c r="B915" s="14"/>
      <c r="C915" s="14"/>
    </row>
    <row r="916" ht="15.75" customHeight="1">
      <c r="B916" s="14"/>
      <c r="C916" s="14"/>
    </row>
    <row r="917" ht="15.75" customHeight="1">
      <c r="B917" s="14"/>
      <c r="C917" s="14"/>
    </row>
    <row r="918" ht="15.75" customHeight="1">
      <c r="B918" s="14"/>
      <c r="C918" s="14"/>
    </row>
    <row r="919" ht="15.75" customHeight="1">
      <c r="B919" s="14"/>
      <c r="C919" s="14"/>
    </row>
    <row r="920" ht="15.75" customHeight="1">
      <c r="B920" s="14"/>
      <c r="C920" s="14"/>
    </row>
    <row r="921" ht="15.75" customHeight="1">
      <c r="B921" s="14"/>
      <c r="C921" s="14"/>
    </row>
    <row r="922" ht="15.75" customHeight="1">
      <c r="B922" s="14"/>
      <c r="C922" s="14"/>
    </row>
    <row r="923" ht="15.75" customHeight="1">
      <c r="B923" s="14"/>
      <c r="C923" s="14"/>
    </row>
    <row r="924" ht="15.75" customHeight="1">
      <c r="B924" s="14"/>
      <c r="C924" s="14"/>
    </row>
    <row r="925" ht="15.75" customHeight="1">
      <c r="B925" s="14"/>
      <c r="C925" s="14"/>
    </row>
    <row r="926" ht="15.75" customHeight="1">
      <c r="B926" s="14"/>
      <c r="C926" s="14"/>
    </row>
    <row r="927" ht="15.75" customHeight="1">
      <c r="B927" s="14"/>
      <c r="C927" s="14"/>
    </row>
    <row r="928" ht="15.75" customHeight="1">
      <c r="B928" s="14"/>
      <c r="C928" s="14"/>
    </row>
    <row r="929" ht="15.75" customHeight="1">
      <c r="B929" s="14"/>
      <c r="C929" s="14"/>
    </row>
    <row r="930" ht="15.75" customHeight="1">
      <c r="B930" s="14"/>
      <c r="C930" s="14"/>
    </row>
    <row r="931" ht="15.75" customHeight="1">
      <c r="B931" s="14"/>
      <c r="C931" s="14"/>
    </row>
    <row r="932" ht="15.75" customHeight="1">
      <c r="B932" s="14"/>
      <c r="C932" s="14"/>
    </row>
    <row r="933" ht="15.75" customHeight="1">
      <c r="B933" s="14"/>
      <c r="C933" s="14"/>
    </row>
    <row r="934" ht="15.75" customHeight="1">
      <c r="B934" s="14"/>
      <c r="C934" s="14"/>
    </row>
    <row r="935" ht="15.75" customHeight="1">
      <c r="B935" s="14"/>
      <c r="C935" s="14"/>
    </row>
    <row r="936" ht="15.75" customHeight="1">
      <c r="B936" s="14"/>
      <c r="C936" s="14"/>
    </row>
    <row r="937" ht="15.75" customHeight="1">
      <c r="B937" s="14"/>
      <c r="C937" s="14"/>
    </row>
    <row r="938" ht="15.75" customHeight="1">
      <c r="B938" s="14"/>
      <c r="C938" s="14"/>
    </row>
    <row r="939" ht="15.75" customHeight="1">
      <c r="B939" s="14"/>
      <c r="C939" s="14"/>
    </row>
    <row r="940" ht="15.75" customHeight="1">
      <c r="B940" s="14"/>
      <c r="C940" s="14"/>
    </row>
    <row r="941" ht="15.75" customHeight="1">
      <c r="B941" s="14"/>
      <c r="C941" s="14"/>
    </row>
    <row r="942" ht="15.75" customHeight="1">
      <c r="B942" s="14"/>
      <c r="C942" s="14"/>
    </row>
    <row r="943" ht="15.75" customHeight="1">
      <c r="B943" s="14"/>
      <c r="C943" s="14"/>
    </row>
    <row r="944" ht="15.75" customHeight="1">
      <c r="B944" s="14"/>
      <c r="C944" s="14"/>
    </row>
    <row r="945" ht="15.75" customHeight="1">
      <c r="B945" s="14"/>
      <c r="C945" s="14"/>
    </row>
    <row r="946" ht="15.75" customHeight="1">
      <c r="B946" s="14"/>
      <c r="C946" s="14"/>
    </row>
    <row r="947" ht="15.75" customHeight="1">
      <c r="B947" s="14"/>
      <c r="C947" s="14"/>
    </row>
    <row r="948" ht="15.75" customHeight="1">
      <c r="B948" s="14"/>
      <c r="C948" s="14"/>
    </row>
    <row r="949" ht="15.75" customHeight="1">
      <c r="B949" s="14"/>
      <c r="C949" s="14"/>
    </row>
    <row r="950" ht="15.75" customHeight="1">
      <c r="B950" s="14"/>
      <c r="C950" s="14"/>
    </row>
    <row r="951" ht="15.75" customHeight="1">
      <c r="B951" s="14"/>
      <c r="C951" s="14"/>
    </row>
    <row r="952" ht="15.75" customHeight="1">
      <c r="B952" s="14"/>
      <c r="C952" s="14"/>
    </row>
    <row r="953" ht="15.75" customHeight="1">
      <c r="B953" s="14"/>
      <c r="C953" s="14"/>
    </row>
    <row r="954" ht="15.75" customHeight="1">
      <c r="B954" s="14"/>
      <c r="C954" s="14"/>
    </row>
    <row r="955" ht="15.75" customHeight="1">
      <c r="B955" s="14"/>
      <c r="C955" s="14"/>
    </row>
    <row r="956" ht="15.75" customHeight="1">
      <c r="B956" s="14"/>
      <c r="C956" s="14"/>
    </row>
    <row r="957" ht="15.75" customHeight="1">
      <c r="B957" s="14"/>
      <c r="C957" s="14"/>
    </row>
    <row r="958" ht="15.75" customHeight="1">
      <c r="B958" s="14"/>
      <c r="C958" s="14"/>
    </row>
    <row r="959" ht="15.75" customHeight="1">
      <c r="B959" s="14"/>
      <c r="C959" s="14"/>
    </row>
    <row r="960" ht="15.75" customHeight="1">
      <c r="B960" s="14"/>
      <c r="C960" s="14"/>
    </row>
    <row r="961" ht="15.75" customHeight="1">
      <c r="B961" s="14"/>
      <c r="C961" s="14"/>
    </row>
    <row r="962" ht="15.75" customHeight="1">
      <c r="B962" s="14"/>
      <c r="C962" s="14"/>
    </row>
    <row r="963" ht="15.75" customHeight="1">
      <c r="B963" s="14"/>
      <c r="C963" s="14"/>
    </row>
    <row r="964" ht="15.75" customHeight="1">
      <c r="B964" s="14"/>
      <c r="C964" s="14"/>
    </row>
    <row r="965" ht="15.75" customHeight="1">
      <c r="B965" s="14"/>
      <c r="C965" s="14"/>
    </row>
    <row r="966" ht="15.75" customHeight="1">
      <c r="B966" s="14"/>
      <c r="C966" s="14"/>
    </row>
    <row r="967" ht="15.75" customHeight="1">
      <c r="B967" s="14"/>
      <c r="C967" s="14"/>
    </row>
    <row r="968" ht="15.75" customHeight="1">
      <c r="B968" s="14"/>
      <c r="C968" s="14"/>
    </row>
    <row r="969" ht="15.75" customHeight="1">
      <c r="B969" s="14"/>
      <c r="C969" s="14"/>
    </row>
    <row r="970" ht="15.75" customHeight="1">
      <c r="B970" s="14"/>
      <c r="C970" s="14"/>
    </row>
    <row r="971" ht="15.75" customHeight="1">
      <c r="B971" s="14"/>
      <c r="C971" s="14"/>
    </row>
    <row r="972" ht="15.75" customHeight="1">
      <c r="B972" s="14"/>
      <c r="C972" s="14"/>
    </row>
    <row r="973" ht="15.75" customHeight="1">
      <c r="B973" s="14"/>
      <c r="C973" s="14"/>
    </row>
    <row r="974" ht="15.75" customHeight="1">
      <c r="B974" s="14"/>
      <c r="C974" s="14"/>
    </row>
    <row r="975" ht="15.75" customHeight="1">
      <c r="B975" s="14"/>
      <c r="C975" s="14"/>
    </row>
    <row r="976" ht="15.75" customHeight="1">
      <c r="B976" s="14"/>
      <c r="C976" s="14"/>
    </row>
    <row r="977" ht="15.75" customHeight="1">
      <c r="B977" s="14"/>
      <c r="C977" s="14"/>
    </row>
    <row r="978" ht="15.75" customHeight="1">
      <c r="B978" s="14"/>
      <c r="C978" s="14"/>
    </row>
    <row r="979" ht="15.75" customHeight="1">
      <c r="B979" s="14"/>
      <c r="C979" s="14"/>
    </row>
    <row r="980" ht="15.75" customHeight="1">
      <c r="B980" s="14"/>
      <c r="C980" s="14"/>
    </row>
    <row r="981" ht="15.75" customHeight="1">
      <c r="B981" s="14"/>
      <c r="C981" s="14"/>
    </row>
    <row r="982" ht="15.75" customHeight="1">
      <c r="B982" s="14"/>
      <c r="C982" s="14"/>
    </row>
    <row r="983" ht="15.75" customHeight="1">
      <c r="B983" s="14"/>
      <c r="C983" s="14"/>
    </row>
    <row r="984" ht="15.75" customHeight="1">
      <c r="B984" s="14"/>
      <c r="C984" s="14"/>
    </row>
    <row r="985" ht="15.75" customHeight="1">
      <c r="B985" s="14"/>
      <c r="C985" s="14"/>
    </row>
    <row r="986" ht="15.75" customHeight="1">
      <c r="B986" s="14"/>
      <c r="C986" s="14"/>
    </row>
    <row r="987" ht="15.75" customHeight="1">
      <c r="B987" s="14"/>
      <c r="C987" s="14"/>
    </row>
    <row r="988" ht="15.75" customHeight="1">
      <c r="B988" s="14"/>
      <c r="C988" s="14"/>
    </row>
    <row r="989" ht="15.75" customHeight="1">
      <c r="B989" s="14"/>
      <c r="C989" s="14"/>
    </row>
    <row r="990" ht="15.75" customHeight="1">
      <c r="B990" s="14"/>
      <c r="C990" s="14"/>
    </row>
    <row r="991" ht="15.75" customHeight="1">
      <c r="B991" s="14"/>
      <c r="C991" s="14"/>
    </row>
    <row r="992" ht="15.75" customHeight="1">
      <c r="B992" s="14"/>
      <c r="C992" s="14"/>
    </row>
    <row r="993" ht="15.75" customHeight="1">
      <c r="B993" s="14"/>
      <c r="C993" s="14"/>
    </row>
    <row r="994" ht="15.75" customHeight="1">
      <c r="B994" s="14"/>
      <c r="C994" s="14"/>
    </row>
    <row r="995" ht="15.75" customHeight="1">
      <c r="B995" s="14"/>
      <c r="C995" s="14"/>
    </row>
    <row r="996" ht="15.75" customHeight="1">
      <c r="B996" s="14"/>
      <c r="C996" s="14"/>
    </row>
    <row r="997" ht="15.75" customHeight="1">
      <c r="B997" s="14"/>
      <c r="C997" s="14"/>
    </row>
    <row r="998" ht="15.75" customHeight="1">
      <c r="B998" s="14"/>
      <c r="C998" s="14"/>
    </row>
    <row r="999" ht="15.75" customHeight="1">
      <c r="B999" s="14"/>
      <c r="C999" s="14"/>
    </row>
    <row r="1000" ht="15.75" customHeight="1">
      <c r="B1000" s="14"/>
      <c r="C1000" s="14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2.0"/>
    <col customWidth="1" min="3" max="26" width="8.63"/>
  </cols>
  <sheetData>
    <row r="1">
      <c r="A1" s="12" t="s">
        <v>531</v>
      </c>
      <c r="B1" s="12" t="s">
        <v>532</v>
      </c>
    </row>
    <row r="2">
      <c r="A2" s="13" t="s">
        <v>528</v>
      </c>
      <c r="B2" s="13">
        <f>COUNTIF('Master Database'!$L$2:$L$500,A2)</f>
        <v>0</v>
      </c>
    </row>
    <row r="3">
      <c r="A3" s="13" t="s">
        <v>533</v>
      </c>
      <c r="B3" s="13">
        <f>COUNTIF('Master Database'!$L$2:$L$500,A3)</f>
        <v>0</v>
      </c>
    </row>
    <row r="4">
      <c r="A4" s="13" t="s">
        <v>536</v>
      </c>
      <c r="B4" s="13">
        <f>COUNTIF('Master Database'!$L$2:$L$500,A4)</f>
        <v>0</v>
      </c>
    </row>
    <row r="5">
      <c r="A5" s="13" t="s">
        <v>539</v>
      </c>
      <c r="B5" s="13">
        <f>COUNTIF('Master Database'!$L$2:$L$500,A5)</f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